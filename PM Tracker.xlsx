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14\Documents\"/>
    </mc:Choice>
  </mc:AlternateContent>
  <xr:revisionPtr revIDLastSave="0" documentId="8_{740CE04E-1746-44AA-B727-96263323D636}" xr6:coauthVersionLast="47" xr6:coauthVersionMax="47" xr10:uidLastSave="{00000000-0000-0000-0000-000000000000}"/>
  <bookViews>
    <workbookView xWindow="-110" yWindow="-110" windowWidth="19420" windowHeight="10300" activeTab="4" xr2:uid="{8C42B973-FF3C-4674-BF23-707353DF2804}"/>
  </bookViews>
  <sheets>
    <sheet name="Tracker1" sheetId="1" r:id="rId1"/>
    <sheet name="Tracker2" sheetId="2" r:id="rId2"/>
    <sheet name="Tracker3" sheetId="3" r:id="rId3"/>
    <sheet name="Tracker4" sheetId="4" r:id="rId4"/>
    <sheet name="Tracker5" sheetId="5" r:id="rId5"/>
    <sheet name="Tracker6" sheetId="6" r:id="rId6"/>
    <sheet name="Budget1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7" l="1"/>
  <c r="I18" i="7" s="1"/>
  <c r="M10" i="7" s="1"/>
  <c r="I6" i="7"/>
  <c r="I7" i="7"/>
  <c r="I8" i="7"/>
  <c r="I9" i="7"/>
  <c r="I10" i="7"/>
  <c r="J10" i="7" s="1"/>
  <c r="I11" i="7"/>
  <c r="I12" i="7"/>
  <c r="I13" i="7"/>
  <c r="I14" i="7"/>
  <c r="I15" i="7"/>
  <c r="I16" i="7"/>
  <c r="I4" i="7"/>
  <c r="G5" i="7"/>
  <c r="G6" i="7"/>
  <c r="G7" i="7"/>
  <c r="J7" i="7" s="1"/>
  <c r="G8" i="7"/>
  <c r="J8" i="7" s="1"/>
  <c r="G9" i="7"/>
  <c r="J9" i="7" s="1"/>
  <c r="G10" i="7"/>
  <c r="G11" i="7"/>
  <c r="G12" i="7"/>
  <c r="G13" i="7"/>
  <c r="G14" i="7"/>
  <c r="G15" i="7"/>
  <c r="J15" i="7" s="1"/>
  <c r="G16" i="7"/>
  <c r="J16" i="7" s="1"/>
  <c r="G4" i="7"/>
  <c r="J4" i="7" s="1"/>
  <c r="F18" i="2"/>
  <c r="J13" i="7" l="1"/>
  <c r="J14" i="7"/>
  <c r="J11" i="7"/>
  <c r="J6" i="7"/>
  <c r="J12" i="7"/>
  <c r="G18" i="7"/>
  <c r="M9" i="7" s="1"/>
  <c r="J5" i="7"/>
  <c r="J18" i="7" s="1"/>
  <c r="M11" i="7" s="1"/>
</calcChain>
</file>

<file path=xl/sharedStrings.xml><?xml version="1.0" encoding="utf-8"?>
<sst xmlns="http://schemas.openxmlformats.org/spreadsheetml/2006/main" count="322" uniqueCount="120">
  <si>
    <t>Country</t>
  </si>
  <si>
    <t>Responsible</t>
  </si>
  <si>
    <t>Status</t>
  </si>
  <si>
    <t>Germany</t>
  </si>
  <si>
    <t>India</t>
  </si>
  <si>
    <t>USA</t>
  </si>
  <si>
    <t>Norway</t>
  </si>
  <si>
    <t>Australia</t>
  </si>
  <si>
    <t>Don</t>
  </si>
  <si>
    <t>Suresh</t>
  </si>
  <si>
    <t>Christian</t>
  </si>
  <si>
    <t>Finn Allen</t>
  </si>
  <si>
    <t>Warner</t>
  </si>
  <si>
    <t>Ongoing</t>
  </si>
  <si>
    <t>Completed</t>
  </si>
  <si>
    <t>Not Started</t>
  </si>
  <si>
    <t>Comments</t>
  </si>
  <si>
    <t xml:space="preserve"> </t>
  </si>
  <si>
    <t>N</t>
  </si>
  <si>
    <t>No.</t>
  </si>
  <si>
    <t>Task</t>
  </si>
  <si>
    <t>Completion %</t>
  </si>
  <si>
    <t>Create a Login frontend page</t>
  </si>
  <si>
    <t>Create a Login backend page</t>
  </si>
  <si>
    <t>Create the database for the login</t>
  </si>
  <si>
    <t>Create a Register frontend page</t>
  </si>
  <si>
    <t>Create a Register backend page</t>
  </si>
  <si>
    <t>Create the database for the Register</t>
  </si>
  <si>
    <t>Test the login page</t>
  </si>
  <si>
    <t>Test the Register page</t>
  </si>
  <si>
    <t>Create the web page</t>
  </si>
  <si>
    <t>Add the items inside the page</t>
  </si>
  <si>
    <t>Create the cart page</t>
  </si>
  <si>
    <t>Create the payment page</t>
  </si>
  <si>
    <t>Test the backend cart page</t>
  </si>
  <si>
    <t>Add customer data in the database</t>
  </si>
  <si>
    <t>Test the web application</t>
  </si>
  <si>
    <t>Andrew</t>
  </si>
  <si>
    <t>Symonds</t>
  </si>
  <si>
    <t>Rohit</t>
  </si>
  <si>
    <t>Henry</t>
  </si>
  <si>
    <t>Total Completion %</t>
  </si>
  <si>
    <t>Name of New Employee</t>
  </si>
  <si>
    <t>Recruitment</t>
  </si>
  <si>
    <t>Onboarding</t>
  </si>
  <si>
    <t>System Accesses</t>
  </si>
  <si>
    <t>Jerry</t>
  </si>
  <si>
    <t>Kishore</t>
  </si>
  <si>
    <t>Vishal</t>
  </si>
  <si>
    <t>Rahul</t>
  </si>
  <si>
    <t>Joseph</t>
  </si>
  <si>
    <t>Lokesh</t>
  </si>
  <si>
    <t>Recruitment process project management</t>
  </si>
  <si>
    <t>Action</t>
  </si>
  <si>
    <t>Actions</t>
  </si>
  <si>
    <t>Owner</t>
  </si>
  <si>
    <t>Due date</t>
  </si>
  <si>
    <t>Comment</t>
  </si>
  <si>
    <t>Issue</t>
  </si>
  <si>
    <t>Frank</t>
  </si>
  <si>
    <t xml:space="preserve">Action /  Issue / Dependency </t>
  </si>
  <si>
    <t>Dependency</t>
  </si>
  <si>
    <t xml:space="preserve">Action /  Issue </t>
  </si>
  <si>
    <t>Action / Issue / Dependency  Log</t>
  </si>
  <si>
    <t>Decision</t>
  </si>
  <si>
    <t>Risk / Action /  Issue / Dependency  / Decision (RAIDD)</t>
  </si>
  <si>
    <t>RAIDD Log</t>
  </si>
  <si>
    <t>PM Log</t>
  </si>
  <si>
    <t>Activity</t>
  </si>
  <si>
    <t>Start Date</t>
  </si>
  <si>
    <t>End Date</t>
  </si>
  <si>
    <t>Requirement analysis</t>
  </si>
  <si>
    <t>Planning</t>
  </si>
  <si>
    <t>Coding</t>
  </si>
  <si>
    <t>Exceution</t>
  </si>
  <si>
    <t>Testing</t>
  </si>
  <si>
    <t>Closure</t>
  </si>
  <si>
    <t>Project plan</t>
  </si>
  <si>
    <t>Functional requirment</t>
  </si>
  <si>
    <t>Application Planning</t>
  </si>
  <si>
    <t>Coding part A</t>
  </si>
  <si>
    <t>Coding part B</t>
  </si>
  <si>
    <t>Coding part C</t>
  </si>
  <si>
    <t>STLC</t>
  </si>
  <si>
    <t xml:space="preserve">Environmental setup </t>
  </si>
  <si>
    <t xml:space="preserve">Bug Report </t>
  </si>
  <si>
    <t>Analytical Report</t>
  </si>
  <si>
    <t>Final Report</t>
  </si>
  <si>
    <t>* The activity is delayed</t>
  </si>
  <si>
    <t>* there is risk not to achieve the due date</t>
  </si>
  <si>
    <t>* Work is progressingly normal</t>
  </si>
  <si>
    <t>RAG Status [Red, Amber, Green]</t>
  </si>
  <si>
    <t>Delayed</t>
  </si>
  <si>
    <t>At Risk</t>
  </si>
  <si>
    <t>Execute the tested code</t>
  </si>
  <si>
    <t>Dec</t>
  </si>
  <si>
    <t>Jan</t>
  </si>
  <si>
    <t>Feb</t>
  </si>
  <si>
    <t>Mar</t>
  </si>
  <si>
    <t>Apr</t>
  </si>
  <si>
    <t>May</t>
  </si>
  <si>
    <t>Jun</t>
  </si>
  <si>
    <t>Materials</t>
  </si>
  <si>
    <t>Cables</t>
  </si>
  <si>
    <t>Pipes</t>
  </si>
  <si>
    <t>Oil</t>
  </si>
  <si>
    <t>Nut &amp; Bolt</t>
  </si>
  <si>
    <t>Engineer Services</t>
  </si>
  <si>
    <t>Unit Type</t>
  </si>
  <si>
    <t>Meter</t>
  </si>
  <si>
    <t>liter</t>
  </si>
  <si>
    <t>Kg</t>
  </si>
  <si>
    <t>Daily rate</t>
  </si>
  <si>
    <t>Total</t>
  </si>
  <si>
    <t>Amount(Nos)</t>
  </si>
  <si>
    <t>Actual</t>
  </si>
  <si>
    <t>Budget</t>
  </si>
  <si>
    <t>Budget Price Per Unit</t>
  </si>
  <si>
    <t>Actual price per unit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</si>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</sst>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14009]dd\ mmmm\ yyyy;@"/>
    <numFmt numFmtId="165" formatCode="[$-14009]dd\ mmm\ yyyy;@"/>
    <numFmt numFmtId="166" formatCode="[$-14009]dd\ mmm;@"/>
    <numFmt numFmtId="167" formatCode="&quot;₹&quot;\ #,##0.00"/>
    <numFmt numFmtId="168" formatCode="0.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9EC6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2" borderId="1" xfId="0" applyFill="1" applyBorder="1"/>
    <xf numFmtId="0" fontId="2" fillId="4" borderId="1" xfId="0" applyFont="1" applyFill="1" applyBorder="1" applyAlignment="1">
      <alignment horizontal="center" vertical="center"/>
    </xf>
    <xf numFmtId="9" fontId="0" fillId="2" borderId="1" xfId="1" applyFont="1" applyFill="1" applyBorder="1" applyAlignment="1">
      <alignment horizontal="center"/>
    </xf>
    <xf numFmtId="0" fontId="0" fillId="5" borderId="2" xfId="0" applyFill="1" applyBorder="1"/>
    <xf numFmtId="9" fontId="0" fillId="5" borderId="1" xfId="0" applyNumberFormat="1" applyFill="1" applyBorder="1" applyAlignment="1">
      <alignment horizontal="center"/>
    </xf>
    <xf numFmtId="0" fontId="4" fillId="2" borderId="0" xfId="0" applyFont="1" applyFill="1"/>
    <xf numFmtId="0" fontId="4" fillId="2" borderId="1" xfId="0" applyFont="1" applyFill="1" applyBorder="1"/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3" fillId="2" borderId="0" xfId="0" applyFont="1" applyFill="1"/>
    <xf numFmtId="0" fontId="0" fillId="2" borderId="1" xfId="0" applyFill="1" applyBorder="1" applyAlignment="1">
      <alignment horizontal="left" indent="1"/>
    </xf>
    <xf numFmtId="0" fontId="3" fillId="2" borderId="5" xfId="0" applyFont="1" applyFill="1" applyBorder="1"/>
    <xf numFmtId="165" fontId="0" fillId="2" borderId="1" xfId="0" applyNumberFormat="1" applyFill="1" applyBorder="1" applyAlignment="1">
      <alignment horizontal="center"/>
    </xf>
    <xf numFmtId="0" fontId="0" fillId="6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3" xfId="0" applyFill="1" applyBorder="1"/>
    <xf numFmtId="0" fontId="0" fillId="2" borderId="0" xfId="0" applyFill="1" applyAlignment="1">
      <alignment horizontal="left" indent="1"/>
    </xf>
    <xf numFmtId="165" fontId="3" fillId="2" borderId="1" xfId="0" applyNumberFormat="1" applyFont="1" applyFill="1" applyBorder="1" applyAlignment="1">
      <alignment horizontal="center"/>
    </xf>
    <xf numFmtId="0" fontId="0" fillId="0" borderId="11" xfId="0" applyBorder="1"/>
    <xf numFmtId="0" fontId="0" fillId="0" borderId="3" xfId="0" applyBorder="1"/>
    <xf numFmtId="0" fontId="0" fillId="0" borderId="12" xfId="0" applyBorder="1"/>
    <xf numFmtId="166" fontId="2" fillId="3" borderId="1" xfId="0" applyNumberFormat="1" applyFont="1" applyFill="1" applyBorder="1" applyAlignment="1">
      <alignment horizontal="center" vertical="center"/>
    </xf>
    <xf numFmtId="0" fontId="0" fillId="6" borderId="3" xfId="0" applyFill="1" applyBorder="1"/>
    <xf numFmtId="167" fontId="0" fillId="2" borderId="1" xfId="0" applyNumberFormat="1" applyFill="1" applyBorder="1"/>
    <xf numFmtId="167" fontId="0" fillId="2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/>
    <xf numFmtId="0" fontId="3" fillId="13" borderId="1" xfId="0" applyFont="1" applyFill="1" applyBorder="1" applyAlignment="1">
      <alignment horizontal="center"/>
    </xf>
    <xf numFmtId="0" fontId="2" fillId="11" borderId="15" xfId="0" applyFont="1" applyFill="1" applyBorder="1" applyAlignment="1">
      <alignment horizontal="center" vertical="center"/>
    </xf>
    <xf numFmtId="0" fontId="2" fillId="12" borderId="1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7" fontId="0" fillId="2" borderId="15" xfId="0" applyNumberFormat="1" applyFill="1" applyBorder="1"/>
    <xf numFmtId="168" fontId="0" fillId="2" borderId="15" xfId="0" applyNumberFormat="1" applyFill="1" applyBorder="1"/>
    <xf numFmtId="167" fontId="0" fillId="2" borderId="15" xfId="0" applyNumberFormat="1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167" fontId="0" fillId="10" borderId="4" xfId="0" applyNumberFormat="1" applyFill="1" applyBorder="1" applyAlignment="1">
      <alignment horizontal="center"/>
    </xf>
    <xf numFmtId="168" fontId="0" fillId="2" borderId="14" xfId="0" applyNumberFormat="1" applyFill="1" applyBorder="1"/>
    <xf numFmtId="167" fontId="0" fillId="2" borderId="14" xfId="0" applyNumberFormat="1" applyFill="1" applyBorder="1" applyAlignment="1">
      <alignment horizontal="center"/>
    </xf>
    <xf numFmtId="167" fontId="0" fillId="2" borderId="10" xfId="0" applyNumberFormat="1" applyFill="1" applyBorder="1"/>
    <xf numFmtId="0" fontId="7" fillId="6" borderId="3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8" borderId="14" xfId="0" applyFill="1" applyBorder="1"/>
    <xf numFmtId="0" fontId="0" fillId="6" borderId="13" xfId="0" applyFill="1" applyBorder="1"/>
    <xf numFmtId="0" fontId="0" fillId="9" borderId="13" xfId="0" applyFill="1" applyBorder="1"/>
    <xf numFmtId="0" fontId="0" fillId="2" borderId="0" xfId="0" applyFill="1" applyBorder="1"/>
  </cellXfs>
  <cellStyles count="2">
    <cellStyle name="Normal" xfId="0" builtinId="0"/>
    <cellStyle name="Percent" xfId="1" builtinId="5"/>
  </cellStyles>
  <dxfs count="27">
    <dxf>
      <font>
        <color rgb="FFFF0000"/>
      </font>
    </dxf>
    <dxf>
      <font>
        <color rgb="FFFF0000"/>
      </font>
    </dxf>
    <dxf>
      <font>
        <color rgb="FFFF0000"/>
      </font>
      <fill>
        <patternFill>
          <fgColor rgb="FFFF9F9F"/>
          <bgColor rgb="FFFFA7A7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C000"/>
      </font>
      <fill>
        <patternFill>
          <bgColor rgb="FFF9EC6F"/>
        </patternFill>
      </fill>
    </dxf>
    <dxf>
      <font>
        <color rgb="FFC00000"/>
      </font>
      <fill>
        <patternFill>
          <bgColor rgb="FFFF2D2D"/>
        </patternFill>
      </fill>
    </dxf>
    <dxf>
      <font>
        <color rgb="FFFF0000"/>
      </font>
      <fill>
        <patternFill>
          <fgColor rgb="FFFF9F9F"/>
          <bgColor rgb="FFFFA7A7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fgColor rgb="FFFF9F9F"/>
          <bgColor rgb="FFFFA7A7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fgColor rgb="FFFF9F9F"/>
          <bgColor rgb="FFFFA7A7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fgColor rgb="FFFF9F9F"/>
          <bgColor rgb="FFFFA7A7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color rgb="FFFF0000"/>
      </font>
      <fill>
        <patternFill>
          <fgColor rgb="FFFF9F9F"/>
          <bgColor rgb="FFFFABAB"/>
        </patternFill>
      </fill>
    </dxf>
    <dxf>
      <font>
        <b/>
        <i val="0"/>
        <color theme="7" tint="-0.499984740745262"/>
      </font>
      <fill>
        <patternFill>
          <bgColor theme="7" tint="0.39994506668294322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  <dxf>
      <font>
        <color rgb="FFFF0000"/>
      </font>
      <fill>
        <patternFill>
          <fgColor rgb="FFFB9F9F"/>
        </patternFill>
      </fill>
    </dxf>
    <dxf>
      <font>
        <color rgb="FFFF0000"/>
      </font>
      <fill>
        <patternFill>
          <fgColor rgb="FFFB9F9F"/>
          <bgColor rgb="FFFF9F9F"/>
        </patternFill>
      </fill>
    </dxf>
  </dxfs>
  <tableStyles count="0" defaultTableStyle="TableStyleMedium2" defaultPivotStyle="PivotStyleLight16"/>
  <colors>
    <mruColors>
      <color rgb="FFF9EC6F"/>
      <color rgb="FFFF2D2D"/>
      <color rgb="FFFF0000"/>
      <color rgb="FFFFA7A7"/>
      <color rgb="FFFF9F9F"/>
      <color rgb="FFFFABAB"/>
      <color rgb="FFFB9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040EC-0EF4-42A1-91A0-A88938772737}">
  <dimension ref="A1:X144"/>
  <sheetViews>
    <sheetView zoomScale="109" workbookViewId="0">
      <selection activeCell="H11" sqref="H11"/>
    </sheetView>
  </sheetViews>
  <sheetFormatPr defaultRowHeight="14.5" x14ac:dyDescent="0.35"/>
  <cols>
    <col min="1" max="1" width="3.1796875" customWidth="1"/>
    <col min="2" max="2" width="10.08984375" customWidth="1"/>
    <col min="3" max="3" width="12" customWidth="1"/>
    <col min="4" max="4" width="11.26953125" customWidth="1"/>
    <col min="5" max="5" width="32" customWidth="1"/>
    <col min="6" max="6" width="2.7265625" customWidth="1"/>
    <col min="7" max="7" width="4" customWidth="1"/>
    <col min="8" max="8" width="31.26953125" customWidth="1"/>
    <col min="9" max="9" width="11.1796875" bestFit="1" customWidth="1"/>
    <col min="10" max="10" width="16.54296875" bestFit="1" customWidth="1"/>
    <col min="11" max="11" width="12.54296875" customWidth="1"/>
    <col min="12" max="12" width="2" customWidth="1"/>
  </cols>
  <sheetData>
    <row r="1" spans="1:24" ht="12" customHeight="1" x14ac:dyDescent="0.35">
      <c r="A1" s="1"/>
      <c r="B1" s="1"/>
      <c r="C1" s="1"/>
      <c r="D1" s="1"/>
      <c r="E1" s="1"/>
      <c r="F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7.5" customHeight="1" x14ac:dyDescent="0.35">
      <c r="A2" s="1"/>
      <c r="B2" s="5" t="s">
        <v>0</v>
      </c>
      <c r="C2" s="5" t="s">
        <v>1</v>
      </c>
      <c r="D2" s="5" t="s">
        <v>2</v>
      </c>
      <c r="E2" s="5" t="s">
        <v>16</v>
      </c>
      <c r="F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35">
      <c r="A3" s="1"/>
      <c r="B3" s="2" t="s">
        <v>3</v>
      </c>
      <c r="C3" s="4" t="s">
        <v>8</v>
      </c>
      <c r="D3" s="3" t="s">
        <v>13</v>
      </c>
      <c r="E3" s="4"/>
      <c r="F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35">
      <c r="A4" s="1"/>
      <c r="B4" s="2" t="s">
        <v>4</v>
      </c>
      <c r="C4" s="4" t="s">
        <v>9</v>
      </c>
      <c r="D4" s="3" t="s">
        <v>15</v>
      </c>
      <c r="E4" s="4"/>
      <c r="F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35">
      <c r="A5" s="1"/>
      <c r="B5" s="2" t="s">
        <v>5</v>
      </c>
      <c r="C5" s="4" t="s">
        <v>10</v>
      </c>
      <c r="D5" s="3" t="s">
        <v>14</v>
      </c>
      <c r="E5" s="4"/>
      <c r="F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35">
      <c r="A6" s="1"/>
      <c r="B6" s="2" t="s">
        <v>6</v>
      </c>
      <c r="C6" s="4" t="s">
        <v>11</v>
      </c>
      <c r="D6" s="3" t="s">
        <v>13</v>
      </c>
      <c r="E6" s="4" t="s">
        <v>17</v>
      </c>
      <c r="F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35">
      <c r="A7" s="1"/>
      <c r="B7" s="2" t="s">
        <v>7</v>
      </c>
      <c r="C7" s="4" t="s">
        <v>12</v>
      </c>
      <c r="D7" s="3" t="s">
        <v>14</v>
      </c>
      <c r="E7" s="4"/>
      <c r="F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35">
      <c r="A8" s="1"/>
      <c r="B8" s="1"/>
      <c r="C8" s="1"/>
      <c r="D8" s="1"/>
      <c r="E8" s="1"/>
      <c r="F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35">
      <c r="A9" s="1"/>
      <c r="B9" s="1"/>
      <c r="C9" s="1"/>
      <c r="D9" s="1"/>
      <c r="E9" s="1"/>
      <c r="F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35">
      <c r="A10" s="1"/>
      <c r="B10" s="1"/>
      <c r="C10" s="1"/>
      <c r="D10" s="1"/>
      <c r="E10" s="1"/>
      <c r="F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35">
      <c r="A11" s="1"/>
      <c r="B11" s="1"/>
      <c r="C11" s="1"/>
      <c r="D11" s="1"/>
      <c r="E11" s="1"/>
      <c r="F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35">
      <c r="A12" s="1"/>
      <c r="B12" s="1"/>
      <c r="C12" s="1"/>
      <c r="D12" s="1"/>
      <c r="E12" s="1"/>
      <c r="F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35">
      <c r="A13" s="1"/>
      <c r="B13" s="1"/>
      <c r="C13" s="1"/>
      <c r="D13" s="1"/>
      <c r="E13" s="1"/>
      <c r="F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35">
      <c r="A14" s="1"/>
      <c r="B14" s="1"/>
      <c r="C14" s="1"/>
      <c r="D14" s="1"/>
      <c r="E14" s="1"/>
      <c r="F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35">
      <c r="A15" s="1"/>
      <c r="B15" s="1"/>
      <c r="C15" s="1"/>
      <c r="D15" s="1"/>
      <c r="E15" s="1"/>
      <c r="F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35">
      <c r="A16" s="1"/>
      <c r="B16" s="1"/>
      <c r="C16" s="1"/>
      <c r="D16" s="1"/>
      <c r="E16" s="1"/>
      <c r="F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35">
      <c r="A17" s="1"/>
      <c r="B17" s="1"/>
      <c r="C17" s="1"/>
      <c r="D17" s="1"/>
      <c r="E17" s="1"/>
      <c r="F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35">
      <c r="A18" s="1"/>
      <c r="B18" s="1"/>
      <c r="C18" s="1"/>
      <c r="D18" s="1"/>
      <c r="E18" s="1"/>
      <c r="F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35">
      <c r="A19" s="1"/>
      <c r="B19" s="1"/>
      <c r="C19" s="1"/>
      <c r="D19" s="1"/>
      <c r="E19" s="1"/>
      <c r="F19" s="1"/>
      <c r="G19" s="1"/>
      <c r="H19" s="1"/>
      <c r="I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</sheetData>
  <conditionalFormatting sqref="D3:D7">
    <cfRule type="cellIs" dxfId="26" priority="4" operator="equal">
      <formula>"Not Started"</formula>
    </cfRule>
    <cfRule type="cellIs" dxfId="25" priority="5" operator="equal">
      <formula>"Not Started"</formula>
    </cfRule>
    <cfRule type="cellIs" dxfId="24" priority="6" operator="equal">
      <formula>"Ongoing"</formula>
    </cfRule>
    <cfRule type="cellIs" dxfId="23" priority="7" operator="equal">
      <formula>"Completed"</formula>
    </cfRule>
    <cfRule type="cellIs" dxfId="22" priority="8" operator="equal">
      <formula>"Ongoing"</formula>
    </cfRule>
  </conditionalFormatting>
  <dataValidations count="1">
    <dataValidation type="list" allowBlank="1" showInputMessage="1" showErrorMessage="1" sqref="D3:D7" xr:uid="{4ACD0237-ADCE-45CD-A96F-681CE1AF2849}">
      <formula1>"Not Started, Ongoing, Completed"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6CF21-C80A-44C3-BF25-5E15E979AB3C}">
  <dimension ref="B1:F18"/>
  <sheetViews>
    <sheetView workbookViewId="0">
      <selection activeCell="I13" sqref="I13"/>
    </sheetView>
  </sheetViews>
  <sheetFormatPr defaultRowHeight="14.5" x14ac:dyDescent="0.35"/>
  <cols>
    <col min="1" max="1" width="2.6328125" style="1" customWidth="1"/>
    <col min="2" max="2" width="3.6328125" style="1" customWidth="1"/>
    <col min="3" max="3" width="31.453125" style="1" customWidth="1"/>
    <col min="4" max="4" width="11.1796875" style="1" bestFit="1" customWidth="1"/>
    <col min="5" max="5" width="16.54296875" style="1" bestFit="1" customWidth="1"/>
    <col min="6" max="6" width="12.54296875" style="1" bestFit="1" customWidth="1"/>
    <col min="7" max="16384" width="8.7265625" style="1"/>
  </cols>
  <sheetData>
    <row r="1" spans="2:6" ht="12.5" customHeight="1" x14ac:dyDescent="0.35"/>
    <row r="2" spans="2:6" ht="20.5" customHeight="1" x14ac:dyDescent="0.35">
      <c r="B2" s="5" t="s">
        <v>19</v>
      </c>
      <c r="C2" s="5" t="s">
        <v>20</v>
      </c>
      <c r="D2" s="5" t="s">
        <v>1</v>
      </c>
      <c r="E2" s="5" t="s">
        <v>2</v>
      </c>
      <c r="F2" s="5" t="s">
        <v>21</v>
      </c>
    </row>
    <row r="3" spans="2:6" x14ac:dyDescent="0.35">
      <c r="B3" s="2">
        <v>1</v>
      </c>
      <c r="C3" s="4" t="s">
        <v>22</v>
      </c>
      <c r="D3" s="2" t="s">
        <v>9</v>
      </c>
      <c r="E3" s="3" t="s">
        <v>14</v>
      </c>
      <c r="F3" s="6">
        <v>1</v>
      </c>
    </row>
    <row r="4" spans="2:6" x14ac:dyDescent="0.35">
      <c r="B4" s="2">
        <v>2</v>
      </c>
      <c r="C4" s="4" t="s">
        <v>23</v>
      </c>
      <c r="D4" s="2" t="s">
        <v>38</v>
      </c>
      <c r="E4" s="3" t="s">
        <v>13</v>
      </c>
      <c r="F4" s="6">
        <v>0.2</v>
      </c>
    </row>
    <row r="5" spans="2:6" x14ac:dyDescent="0.35">
      <c r="B5" s="2">
        <v>3</v>
      </c>
      <c r="C5" s="4" t="s">
        <v>24</v>
      </c>
      <c r="D5" s="2" t="s">
        <v>39</v>
      </c>
      <c r="E5" s="3" t="s">
        <v>13</v>
      </c>
      <c r="F5" s="6">
        <v>0.5</v>
      </c>
    </row>
    <row r="6" spans="2:6" x14ac:dyDescent="0.35">
      <c r="B6" s="2">
        <v>4</v>
      </c>
      <c r="C6" s="4" t="s">
        <v>28</v>
      </c>
      <c r="D6" s="2" t="s">
        <v>37</v>
      </c>
      <c r="E6" s="3" t="s">
        <v>15</v>
      </c>
      <c r="F6" s="6">
        <v>0</v>
      </c>
    </row>
    <row r="7" spans="2:6" x14ac:dyDescent="0.35">
      <c r="B7" s="2">
        <v>5</v>
      </c>
      <c r="C7" s="4" t="s">
        <v>25</v>
      </c>
      <c r="D7" s="2" t="s">
        <v>9</v>
      </c>
      <c r="E7" s="3" t="s">
        <v>14</v>
      </c>
      <c r="F7" s="6">
        <v>1</v>
      </c>
    </row>
    <row r="8" spans="2:6" x14ac:dyDescent="0.35">
      <c r="B8" s="2">
        <v>6</v>
      </c>
      <c r="C8" s="4" t="s">
        <v>26</v>
      </c>
      <c r="D8" s="2" t="s">
        <v>38</v>
      </c>
      <c r="E8" s="3" t="s">
        <v>13</v>
      </c>
      <c r="F8" s="6">
        <v>0.4</v>
      </c>
    </row>
    <row r="9" spans="2:6" x14ac:dyDescent="0.35">
      <c r="B9" s="2">
        <v>7</v>
      </c>
      <c r="C9" s="4" t="s">
        <v>27</v>
      </c>
      <c r="D9" s="2" t="s">
        <v>39</v>
      </c>
      <c r="E9" s="3" t="s">
        <v>13</v>
      </c>
      <c r="F9" s="6">
        <v>0.6</v>
      </c>
    </row>
    <row r="10" spans="2:6" x14ac:dyDescent="0.35">
      <c r="B10" s="2">
        <v>8</v>
      </c>
      <c r="C10" s="4" t="s">
        <v>29</v>
      </c>
      <c r="D10" s="2" t="s">
        <v>37</v>
      </c>
      <c r="E10" s="3" t="s">
        <v>15</v>
      </c>
      <c r="F10" s="6">
        <v>0</v>
      </c>
    </row>
    <row r="11" spans="2:6" x14ac:dyDescent="0.35">
      <c r="B11" s="2">
        <v>9</v>
      </c>
      <c r="C11" s="4" t="s">
        <v>30</v>
      </c>
      <c r="D11" s="2" t="s">
        <v>9</v>
      </c>
      <c r="E11" s="3" t="s">
        <v>15</v>
      </c>
      <c r="F11" s="6">
        <v>0</v>
      </c>
    </row>
    <row r="12" spans="2:6" x14ac:dyDescent="0.35">
      <c r="B12" s="2">
        <v>10</v>
      </c>
      <c r="C12" s="4" t="s">
        <v>31</v>
      </c>
      <c r="D12" s="2" t="s">
        <v>40</v>
      </c>
      <c r="E12" s="3" t="s">
        <v>15</v>
      </c>
      <c r="F12" s="6">
        <v>0</v>
      </c>
    </row>
    <row r="13" spans="2:6" x14ac:dyDescent="0.35">
      <c r="B13" s="2">
        <v>11</v>
      </c>
      <c r="C13" s="4" t="s">
        <v>32</v>
      </c>
      <c r="D13" s="2" t="s">
        <v>9</v>
      </c>
      <c r="E13" s="3" t="s">
        <v>15</v>
      </c>
      <c r="F13" s="6">
        <v>0</v>
      </c>
    </row>
    <row r="14" spans="2:6" x14ac:dyDescent="0.35">
      <c r="B14" s="2">
        <v>12</v>
      </c>
      <c r="C14" s="4" t="s">
        <v>33</v>
      </c>
      <c r="D14" s="2" t="s">
        <v>9</v>
      </c>
      <c r="E14" s="3" t="s">
        <v>15</v>
      </c>
      <c r="F14" s="6">
        <v>0</v>
      </c>
    </row>
    <row r="15" spans="2:6" x14ac:dyDescent="0.35">
      <c r="B15" s="2">
        <v>13</v>
      </c>
      <c r="C15" s="4" t="s">
        <v>34</v>
      </c>
      <c r="D15" s="2" t="s">
        <v>37</v>
      </c>
      <c r="E15" s="3" t="s">
        <v>15</v>
      </c>
      <c r="F15" s="6">
        <v>0</v>
      </c>
    </row>
    <row r="16" spans="2:6" x14ac:dyDescent="0.35">
      <c r="B16" s="2">
        <v>14</v>
      </c>
      <c r="C16" s="4" t="s">
        <v>35</v>
      </c>
      <c r="D16" s="2" t="s">
        <v>39</v>
      </c>
      <c r="E16" s="3" t="s">
        <v>15</v>
      </c>
      <c r="F16" s="6">
        <v>0</v>
      </c>
    </row>
    <row r="17" spans="2:6" x14ac:dyDescent="0.35">
      <c r="B17" s="2">
        <v>15</v>
      </c>
      <c r="C17" s="4" t="s">
        <v>36</v>
      </c>
      <c r="D17" s="2" t="s">
        <v>37</v>
      </c>
      <c r="E17" s="3" t="s">
        <v>15</v>
      </c>
      <c r="F17" s="6">
        <v>0</v>
      </c>
    </row>
    <row r="18" spans="2:6" x14ac:dyDescent="0.35">
      <c r="E18" s="7" t="s">
        <v>41</v>
      </c>
      <c r="F18" s="8">
        <f>AVERAGE(F3:F17)</f>
        <v>0.24666666666666667</v>
      </c>
    </row>
  </sheetData>
  <conditionalFormatting sqref="E3:E17">
    <cfRule type="cellIs" dxfId="21" priority="1" operator="equal">
      <formula>"Not Started"</formula>
    </cfRule>
    <cfRule type="cellIs" dxfId="20" priority="2" operator="equal">
      <formula>"Ongoing"</formula>
    </cfRule>
    <cfRule type="cellIs" dxfId="19" priority="3" operator="equal">
      <formula>"Completed"</formula>
    </cfRule>
  </conditionalFormatting>
  <dataValidations count="2">
    <dataValidation type="list" allowBlank="1" showInputMessage="1" showErrorMessage="1" sqref="D3:D17" xr:uid="{1347861C-9BFA-4D8A-8723-8B482259E9D6}">
      <formula1>"Henry, Mathew, Suresh, Andrew, Symonds, Rohit"</formula1>
    </dataValidation>
    <dataValidation type="list" allowBlank="1" showInputMessage="1" showErrorMessage="1" sqref="E3:E17" xr:uid="{4ACD0237-ADCE-45CD-A96F-681CE1AF2849}">
      <formula1>"Not Started, Ongoing, Completed"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1F7BC-E5C8-46D1-ACDF-39BFD04DD759}">
  <dimension ref="B1:G11"/>
  <sheetViews>
    <sheetView workbookViewId="0">
      <selection activeCell="E4" sqref="E4:E11"/>
    </sheetView>
  </sheetViews>
  <sheetFormatPr defaultRowHeight="14.5" x14ac:dyDescent="0.35"/>
  <cols>
    <col min="1" max="1" width="2.7265625" style="1" customWidth="1"/>
    <col min="2" max="2" width="5.36328125" style="1" customWidth="1"/>
    <col min="3" max="3" width="32.453125" style="1" customWidth="1"/>
    <col min="4" max="4" width="13.26953125" style="1" customWidth="1"/>
    <col min="5" max="5" width="12.6328125" style="1" customWidth="1"/>
    <col min="6" max="6" width="13" style="1" customWidth="1"/>
    <col min="7" max="7" width="36.54296875" style="9" customWidth="1"/>
    <col min="8" max="16384" width="8.7265625" style="1"/>
  </cols>
  <sheetData>
    <row r="1" spans="2:7" ht="13" customHeight="1" x14ac:dyDescent="0.4">
      <c r="B1" s="52" t="s">
        <v>52</v>
      </c>
      <c r="C1" s="52"/>
      <c r="D1" s="52"/>
      <c r="E1" s="52"/>
      <c r="F1" s="52"/>
      <c r="G1" s="52"/>
    </row>
    <row r="2" spans="2:7" ht="22" customHeight="1" x14ac:dyDescent="0.35">
      <c r="B2" s="53" t="s">
        <v>18</v>
      </c>
      <c r="C2" s="53" t="s">
        <v>42</v>
      </c>
      <c r="D2" s="53" t="s">
        <v>2</v>
      </c>
      <c r="E2" s="53"/>
      <c r="F2" s="53"/>
      <c r="G2" s="53" t="s">
        <v>16</v>
      </c>
    </row>
    <row r="3" spans="2:7" ht="36" customHeight="1" x14ac:dyDescent="0.35">
      <c r="B3" s="53"/>
      <c r="C3" s="53"/>
      <c r="D3" s="12" t="s">
        <v>43</v>
      </c>
      <c r="E3" s="11" t="s">
        <v>44</v>
      </c>
      <c r="F3" s="13" t="s">
        <v>45</v>
      </c>
      <c r="G3" s="53"/>
    </row>
    <row r="4" spans="2:7" x14ac:dyDescent="0.35">
      <c r="B4" s="2">
        <v>1</v>
      </c>
      <c r="C4" s="4" t="s">
        <v>46</v>
      </c>
      <c r="D4" s="3" t="s">
        <v>14</v>
      </c>
      <c r="E4" s="3" t="s">
        <v>14</v>
      </c>
      <c r="F4" s="3" t="s">
        <v>14</v>
      </c>
      <c r="G4" s="10"/>
    </row>
    <row r="5" spans="2:7" x14ac:dyDescent="0.35">
      <c r="B5" s="2">
        <v>2</v>
      </c>
      <c r="C5" s="4" t="s">
        <v>47</v>
      </c>
      <c r="D5" s="3" t="s">
        <v>14</v>
      </c>
      <c r="E5" s="3" t="s">
        <v>14</v>
      </c>
      <c r="F5" s="3" t="s">
        <v>14</v>
      </c>
      <c r="G5" s="10"/>
    </row>
    <row r="6" spans="2:7" x14ac:dyDescent="0.35">
      <c r="B6" s="2">
        <v>3</v>
      </c>
      <c r="C6" s="4" t="s">
        <v>40</v>
      </c>
      <c r="D6" s="3" t="s">
        <v>14</v>
      </c>
      <c r="E6" s="3" t="s">
        <v>14</v>
      </c>
      <c r="F6" s="3" t="s">
        <v>13</v>
      </c>
      <c r="G6" s="10"/>
    </row>
    <row r="7" spans="2:7" x14ac:dyDescent="0.35">
      <c r="B7" s="2">
        <v>4</v>
      </c>
      <c r="C7" s="4" t="s">
        <v>48</v>
      </c>
      <c r="D7" s="3" t="s">
        <v>14</v>
      </c>
      <c r="E7" s="3" t="s">
        <v>13</v>
      </c>
      <c r="F7" s="3" t="s">
        <v>13</v>
      </c>
      <c r="G7" s="10"/>
    </row>
    <row r="8" spans="2:7" x14ac:dyDescent="0.35">
      <c r="B8" s="2">
        <v>5</v>
      </c>
      <c r="C8" s="4" t="s">
        <v>49</v>
      </c>
      <c r="D8" s="3" t="s">
        <v>13</v>
      </c>
      <c r="E8" s="3" t="s">
        <v>13</v>
      </c>
      <c r="F8" s="3" t="s">
        <v>13</v>
      </c>
      <c r="G8" s="10"/>
    </row>
    <row r="9" spans="2:7" x14ac:dyDescent="0.35">
      <c r="B9" s="2">
        <v>6</v>
      </c>
      <c r="C9" s="4" t="s">
        <v>10</v>
      </c>
      <c r="D9" s="3" t="s">
        <v>13</v>
      </c>
      <c r="E9" s="3" t="s">
        <v>15</v>
      </c>
      <c r="F9" s="3" t="s">
        <v>15</v>
      </c>
      <c r="G9" s="10"/>
    </row>
    <row r="10" spans="2:7" x14ac:dyDescent="0.35">
      <c r="B10" s="2">
        <v>7</v>
      </c>
      <c r="C10" s="4" t="s">
        <v>50</v>
      </c>
      <c r="D10" s="3" t="s">
        <v>15</v>
      </c>
      <c r="E10" s="3" t="s">
        <v>15</v>
      </c>
      <c r="F10" s="3" t="s">
        <v>15</v>
      </c>
      <c r="G10" s="10"/>
    </row>
    <row r="11" spans="2:7" x14ac:dyDescent="0.35">
      <c r="B11" s="2">
        <v>8</v>
      </c>
      <c r="C11" s="4" t="s">
        <v>51</v>
      </c>
      <c r="D11" s="3" t="s">
        <v>15</v>
      </c>
      <c r="E11" s="3" t="s">
        <v>15</v>
      </c>
      <c r="F11" s="3" t="s">
        <v>15</v>
      </c>
      <c r="G11" s="10"/>
    </row>
  </sheetData>
  <mergeCells count="5">
    <mergeCell ref="B1:G1"/>
    <mergeCell ref="B2:B3"/>
    <mergeCell ref="C2:C3"/>
    <mergeCell ref="D2:F2"/>
    <mergeCell ref="G2:G3"/>
  </mergeCells>
  <conditionalFormatting sqref="D4:F11">
    <cfRule type="cellIs" dxfId="18" priority="1" operator="equal">
      <formula>"Completed"</formula>
    </cfRule>
    <cfRule type="cellIs" dxfId="17" priority="2" operator="equal">
      <formula>"Ongoing"</formula>
    </cfRule>
    <cfRule type="cellIs" dxfId="16" priority="3" operator="equal">
      <formula>"Not Started"</formula>
    </cfRule>
  </conditionalFormatting>
  <dataValidations count="1">
    <dataValidation type="list" allowBlank="1" showInputMessage="1" showErrorMessage="1" sqref="D4:F11" xr:uid="{B783978D-9144-4E93-A0A3-38BD52C1D97C}">
      <formula1>"Not Started, Ongoing, Completed"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A3374-3DC6-4BBC-AF15-29D6DDD66EA3}">
  <dimension ref="B1:H39"/>
  <sheetViews>
    <sheetView topLeftCell="A39" zoomScale="95" workbookViewId="0">
      <selection activeCell="G30" sqref="G30:G39"/>
    </sheetView>
  </sheetViews>
  <sheetFormatPr defaultRowHeight="14.5" x14ac:dyDescent="0.35"/>
  <cols>
    <col min="1" max="1" width="2.7265625" style="1" customWidth="1"/>
    <col min="2" max="2" width="4" style="1" customWidth="1"/>
    <col min="3" max="3" width="31.54296875" style="1" customWidth="1"/>
    <col min="4" max="4" width="19" style="1" customWidth="1"/>
    <col min="5" max="5" width="10.81640625" style="1" customWidth="1"/>
    <col min="6" max="6" width="11.54296875" style="1" customWidth="1"/>
    <col min="7" max="7" width="9.90625" style="1" customWidth="1"/>
    <col min="8" max="8" width="33.81640625" style="1" customWidth="1"/>
    <col min="9" max="16384" width="8.7265625" style="1"/>
  </cols>
  <sheetData>
    <row r="1" spans="2:8" ht="13.5" customHeight="1" x14ac:dyDescent="0.35">
      <c r="B1" s="54" t="s">
        <v>67</v>
      </c>
      <c r="C1" s="54"/>
      <c r="D1" s="54"/>
      <c r="E1" s="54"/>
      <c r="F1" s="54"/>
      <c r="G1" s="54"/>
      <c r="H1" s="54"/>
    </row>
    <row r="2" spans="2:8" ht="44" customHeight="1" x14ac:dyDescent="0.35">
      <c r="B2" s="14" t="s">
        <v>18</v>
      </c>
      <c r="C2" s="14" t="s">
        <v>54</v>
      </c>
      <c r="D2" s="15" t="s">
        <v>62</v>
      </c>
      <c r="E2" s="14" t="s">
        <v>55</v>
      </c>
      <c r="F2" s="14" t="s">
        <v>56</v>
      </c>
      <c r="G2" s="14" t="s">
        <v>2</v>
      </c>
      <c r="H2" s="14" t="s">
        <v>57</v>
      </c>
    </row>
    <row r="3" spans="2:8" x14ac:dyDescent="0.35">
      <c r="B3" s="2">
        <v>1</v>
      </c>
      <c r="C3" s="4"/>
      <c r="D3" s="2" t="s">
        <v>53</v>
      </c>
      <c r="E3" s="2" t="s">
        <v>59</v>
      </c>
      <c r="F3" s="16">
        <v>45782</v>
      </c>
      <c r="G3" s="3" t="s">
        <v>14</v>
      </c>
      <c r="H3" s="4"/>
    </row>
    <row r="4" spans="2:8" x14ac:dyDescent="0.35">
      <c r="B4" s="2">
        <v>2</v>
      </c>
      <c r="C4" s="4"/>
      <c r="D4" s="2" t="s">
        <v>53</v>
      </c>
      <c r="E4" s="2" t="s">
        <v>40</v>
      </c>
      <c r="F4" s="16"/>
      <c r="G4" s="3" t="s">
        <v>14</v>
      </c>
      <c r="H4" s="4"/>
    </row>
    <row r="5" spans="2:8" x14ac:dyDescent="0.35">
      <c r="B5" s="2">
        <v>3</v>
      </c>
      <c r="C5" s="4"/>
      <c r="D5" s="2" t="s">
        <v>58</v>
      </c>
      <c r="E5" s="2" t="s">
        <v>40</v>
      </c>
      <c r="F5" s="16"/>
      <c r="G5" s="3" t="s">
        <v>14</v>
      </c>
      <c r="H5" s="4"/>
    </row>
    <row r="6" spans="2:8" x14ac:dyDescent="0.35">
      <c r="B6" s="2">
        <v>4</v>
      </c>
      <c r="C6" s="4"/>
      <c r="D6" s="2" t="s">
        <v>53</v>
      </c>
      <c r="E6" s="2" t="s">
        <v>40</v>
      </c>
      <c r="F6" s="16"/>
      <c r="G6" s="3" t="s">
        <v>13</v>
      </c>
      <c r="H6" s="4"/>
    </row>
    <row r="7" spans="2:8" x14ac:dyDescent="0.35">
      <c r="B7" s="2">
        <v>5</v>
      </c>
      <c r="C7" s="4"/>
      <c r="D7" s="2" t="s">
        <v>58</v>
      </c>
      <c r="E7" s="2" t="s">
        <v>40</v>
      </c>
      <c r="F7" s="16"/>
      <c r="G7" s="3" t="s">
        <v>13</v>
      </c>
      <c r="H7" s="4"/>
    </row>
    <row r="8" spans="2:8" x14ac:dyDescent="0.35">
      <c r="B8" s="2">
        <v>6</v>
      </c>
      <c r="C8" s="4"/>
      <c r="D8" s="2" t="s">
        <v>58</v>
      </c>
      <c r="E8" s="2" t="s">
        <v>47</v>
      </c>
      <c r="F8" s="16"/>
      <c r="G8" s="3" t="s">
        <v>15</v>
      </c>
      <c r="H8" s="4"/>
    </row>
    <row r="9" spans="2:8" x14ac:dyDescent="0.35">
      <c r="B9" s="2">
        <v>7</v>
      </c>
      <c r="C9" s="4"/>
      <c r="D9" s="2" t="s">
        <v>58</v>
      </c>
      <c r="E9" s="2" t="s">
        <v>47</v>
      </c>
      <c r="F9" s="16"/>
      <c r="G9" s="3" t="s">
        <v>15</v>
      </c>
      <c r="H9" s="4"/>
    </row>
    <row r="10" spans="2:8" x14ac:dyDescent="0.35">
      <c r="B10" s="2">
        <v>8</v>
      </c>
      <c r="C10" s="4"/>
      <c r="D10" s="2" t="s">
        <v>58</v>
      </c>
      <c r="E10" s="2" t="s">
        <v>47</v>
      </c>
      <c r="F10" s="16"/>
      <c r="G10" s="3" t="s">
        <v>15</v>
      </c>
      <c r="H10" s="4"/>
    </row>
    <row r="11" spans="2:8" x14ac:dyDescent="0.35">
      <c r="B11" s="2">
        <v>9</v>
      </c>
      <c r="C11" s="4"/>
      <c r="D11" s="2" t="s">
        <v>53</v>
      </c>
      <c r="E11" s="2" t="s">
        <v>46</v>
      </c>
      <c r="F11" s="16"/>
      <c r="G11" s="3" t="s">
        <v>13</v>
      </c>
      <c r="H11" s="4"/>
    </row>
    <row r="12" spans="2:8" x14ac:dyDescent="0.35">
      <c r="B12" s="2">
        <v>10</v>
      </c>
      <c r="C12" s="4"/>
      <c r="D12" s="2" t="s">
        <v>53</v>
      </c>
      <c r="E12" s="2" t="s">
        <v>46</v>
      </c>
      <c r="F12" s="16"/>
      <c r="G12" s="3" t="s">
        <v>13</v>
      </c>
      <c r="H12" s="4"/>
    </row>
    <row r="14" spans="2:8" x14ac:dyDescent="0.35">
      <c r="B14" s="54" t="s">
        <v>63</v>
      </c>
      <c r="C14" s="54"/>
      <c r="D14" s="54"/>
      <c r="E14" s="54"/>
      <c r="F14" s="54"/>
      <c r="G14" s="54"/>
      <c r="H14" s="54"/>
    </row>
    <row r="15" spans="2:8" ht="29" x14ac:dyDescent="0.35">
      <c r="B15" s="14" t="s">
        <v>18</v>
      </c>
      <c r="C15" s="14" t="s">
        <v>54</v>
      </c>
      <c r="D15" s="15" t="s">
        <v>60</v>
      </c>
      <c r="E15" s="14" t="s">
        <v>55</v>
      </c>
      <c r="F15" s="14" t="s">
        <v>56</v>
      </c>
      <c r="G15" s="14" t="s">
        <v>2</v>
      </c>
      <c r="H15" s="14" t="s">
        <v>57</v>
      </c>
    </row>
    <row r="16" spans="2:8" x14ac:dyDescent="0.35">
      <c r="B16" s="2">
        <v>1</v>
      </c>
      <c r="C16" s="4"/>
      <c r="D16" s="2" t="s">
        <v>53</v>
      </c>
      <c r="E16" s="2" t="s">
        <v>59</v>
      </c>
      <c r="F16" s="16">
        <v>45782</v>
      </c>
      <c r="G16" s="3" t="s">
        <v>14</v>
      </c>
      <c r="H16" s="4"/>
    </row>
    <row r="17" spans="2:8" x14ac:dyDescent="0.35">
      <c r="B17" s="2">
        <v>2</v>
      </c>
      <c r="C17" s="4"/>
      <c r="D17" s="2" t="s">
        <v>53</v>
      </c>
      <c r="E17" s="2" t="s">
        <v>40</v>
      </c>
      <c r="F17" s="16"/>
      <c r="G17" s="3" t="s">
        <v>14</v>
      </c>
      <c r="H17" s="4"/>
    </row>
    <row r="18" spans="2:8" x14ac:dyDescent="0.35">
      <c r="B18" s="2">
        <v>3</v>
      </c>
      <c r="C18" s="4"/>
      <c r="D18" s="2" t="s">
        <v>61</v>
      </c>
      <c r="E18" s="2" t="s">
        <v>40</v>
      </c>
      <c r="F18" s="16"/>
      <c r="G18" s="3" t="s">
        <v>14</v>
      </c>
      <c r="H18" s="4"/>
    </row>
    <row r="19" spans="2:8" x14ac:dyDescent="0.35">
      <c r="B19" s="2">
        <v>4</v>
      </c>
      <c r="C19" s="4"/>
      <c r="D19" s="2" t="s">
        <v>53</v>
      </c>
      <c r="E19" s="2" t="s">
        <v>40</v>
      </c>
      <c r="F19" s="16"/>
      <c r="G19" s="3" t="s">
        <v>13</v>
      </c>
      <c r="H19" s="4"/>
    </row>
    <row r="20" spans="2:8" x14ac:dyDescent="0.35">
      <c r="B20" s="2">
        <v>5</v>
      </c>
      <c r="C20" s="4"/>
      <c r="D20" s="2" t="s">
        <v>61</v>
      </c>
      <c r="E20" s="2" t="s">
        <v>40</v>
      </c>
      <c r="F20" s="16"/>
      <c r="G20" s="3" t="s">
        <v>13</v>
      </c>
      <c r="H20" s="4"/>
    </row>
    <row r="21" spans="2:8" x14ac:dyDescent="0.35">
      <c r="B21" s="2">
        <v>6</v>
      </c>
      <c r="C21" s="4"/>
      <c r="D21" s="2" t="s">
        <v>58</v>
      </c>
      <c r="E21" s="2" t="s">
        <v>47</v>
      </c>
      <c r="F21" s="16"/>
      <c r="G21" s="3" t="s">
        <v>15</v>
      </c>
      <c r="H21" s="4"/>
    </row>
    <row r="22" spans="2:8" x14ac:dyDescent="0.35">
      <c r="B22" s="2">
        <v>7</v>
      </c>
      <c r="C22" s="4"/>
      <c r="D22" s="2" t="s">
        <v>58</v>
      </c>
      <c r="E22" s="2" t="s">
        <v>47</v>
      </c>
      <c r="F22" s="16"/>
      <c r="G22" s="3" t="s">
        <v>15</v>
      </c>
      <c r="H22" s="4"/>
    </row>
    <row r="23" spans="2:8" x14ac:dyDescent="0.35">
      <c r="B23" s="2">
        <v>8</v>
      </c>
      <c r="C23" s="4"/>
      <c r="D23" s="2" t="s">
        <v>58</v>
      </c>
      <c r="E23" s="2" t="s">
        <v>47</v>
      </c>
      <c r="F23" s="16"/>
      <c r="G23" s="3" t="s">
        <v>15</v>
      </c>
      <c r="H23" s="4"/>
    </row>
    <row r="24" spans="2:8" x14ac:dyDescent="0.35">
      <c r="B24" s="2">
        <v>9</v>
      </c>
      <c r="C24" s="4"/>
      <c r="D24" s="2" t="s">
        <v>53</v>
      </c>
      <c r="E24" s="2" t="s">
        <v>46</v>
      </c>
      <c r="F24" s="16"/>
      <c r="G24" s="3" t="s">
        <v>13</v>
      </c>
      <c r="H24" s="4"/>
    </row>
    <row r="25" spans="2:8" x14ac:dyDescent="0.35">
      <c r="B25" s="2">
        <v>10</v>
      </c>
      <c r="C25" s="4"/>
      <c r="D25" s="2" t="s">
        <v>53</v>
      </c>
      <c r="E25" s="2" t="s">
        <v>46</v>
      </c>
      <c r="F25" s="16"/>
      <c r="G25" s="3" t="s">
        <v>13</v>
      </c>
      <c r="H25" s="4"/>
    </row>
    <row r="28" spans="2:8" x14ac:dyDescent="0.35">
      <c r="B28" s="54" t="s">
        <v>66</v>
      </c>
      <c r="C28" s="54"/>
      <c r="D28" s="54"/>
      <c r="E28" s="54"/>
      <c r="F28" s="54"/>
      <c r="G28" s="54"/>
      <c r="H28" s="54"/>
    </row>
    <row r="29" spans="2:8" ht="51.5" customHeight="1" x14ac:dyDescent="0.35">
      <c r="B29" s="14" t="s">
        <v>18</v>
      </c>
      <c r="C29" s="14" t="s">
        <v>54</v>
      </c>
      <c r="D29" s="15" t="s">
        <v>65</v>
      </c>
      <c r="E29" s="14" t="s">
        <v>55</v>
      </c>
      <c r="F29" s="14" t="s">
        <v>56</v>
      </c>
      <c r="G29" s="14" t="s">
        <v>2</v>
      </c>
      <c r="H29" s="14" t="s">
        <v>57</v>
      </c>
    </row>
    <row r="30" spans="2:8" x14ac:dyDescent="0.35">
      <c r="B30" s="2">
        <v>1</v>
      </c>
      <c r="C30" s="4"/>
      <c r="D30" s="2" t="s">
        <v>53</v>
      </c>
      <c r="E30" s="2" t="s">
        <v>59</v>
      </c>
      <c r="F30" s="16">
        <v>45782</v>
      </c>
      <c r="G30" s="3" t="s">
        <v>14</v>
      </c>
      <c r="H30" s="4"/>
    </row>
    <row r="31" spans="2:8" x14ac:dyDescent="0.35">
      <c r="B31" s="2">
        <v>2</v>
      </c>
      <c r="C31" s="4"/>
      <c r="D31" s="2" t="s">
        <v>53</v>
      </c>
      <c r="E31" s="2" t="s">
        <v>40</v>
      </c>
      <c r="F31" s="16"/>
      <c r="G31" s="3" t="s">
        <v>14</v>
      </c>
      <c r="H31" s="4"/>
    </row>
    <row r="32" spans="2:8" x14ac:dyDescent="0.35">
      <c r="B32" s="2">
        <v>3</v>
      </c>
      <c r="C32" s="4"/>
      <c r="D32" s="2" t="s">
        <v>61</v>
      </c>
      <c r="E32" s="2" t="s">
        <v>40</v>
      </c>
      <c r="F32" s="16"/>
      <c r="G32" s="3" t="s">
        <v>14</v>
      </c>
      <c r="H32" s="4"/>
    </row>
    <row r="33" spans="2:8" x14ac:dyDescent="0.35">
      <c r="B33" s="2">
        <v>4</v>
      </c>
      <c r="C33" s="4"/>
      <c r="D33" s="2" t="s">
        <v>53</v>
      </c>
      <c r="E33" s="2" t="s">
        <v>40</v>
      </c>
      <c r="F33" s="16"/>
      <c r="G33" s="3" t="s">
        <v>13</v>
      </c>
      <c r="H33" s="4"/>
    </row>
    <row r="34" spans="2:8" x14ac:dyDescent="0.35">
      <c r="B34" s="2">
        <v>5</v>
      </c>
      <c r="C34" s="4"/>
      <c r="D34" s="2" t="s">
        <v>61</v>
      </c>
      <c r="E34" s="2" t="s">
        <v>40</v>
      </c>
      <c r="F34" s="16"/>
      <c r="G34" s="3" t="s">
        <v>13</v>
      </c>
      <c r="H34" s="4"/>
    </row>
    <row r="35" spans="2:8" x14ac:dyDescent="0.35">
      <c r="B35" s="2">
        <v>6</v>
      </c>
      <c r="C35" s="4"/>
      <c r="D35" s="2" t="s">
        <v>58</v>
      </c>
      <c r="E35" s="2" t="s">
        <v>47</v>
      </c>
      <c r="F35" s="16"/>
      <c r="G35" s="3" t="s">
        <v>15</v>
      </c>
      <c r="H35" s="4"/>
    </row>
    <row r="36" spans="2:8" x14ac:dyDescent="0.35">
      <c r="B36" s="2">
        <v>7</v>
      </c>
      <c r="C36" s="4"/>
      <c r="D36" s="2" t="s">
        <v>58</v>
      </c>
      <c r="E36" s="2" t="s">
        <v>47</v>
      </c>
      <c r="F36" s="16"/>
      <c r="G36" s="3" t="s">
        <v>15</v>
      </c>
      <c r="H36" s="4"/>
    </row>
    <row r="37" spans="2:8" x14ac:dyDescent="0.35">
      <c r="B37" s="2">
        <v>8</v>
      </c>
      <c r="C37" s="4"/>
      <c r="D37" s="2" t="s">
        <v>64</v>
      </c>
      <c r="E37" s="2" t="s">
        <v>47</v>
      </c>
      <c r="F37" s="16"/>
      <c r="G37" s="3" t="s">
        <v>15</v>
      </c>
      <c r="H37" s="4"/>
    </row>
    <row r="38" spans="2:8" x14ac:dyDescent="0.35">
      <c r="B38" s="2">
        <v>9</v>
      </c>
      <c r="C38" s="4"/>
      <c r="D38" s="2" t="s">
        <v>53</v>
      </c>
      <c r="E38" s="2" t="s">
        <v>46</v>
      </c>
      <c r="F38" s="16"/>
      <c r="G38" s="3" t="s">
        <v>13</v>
      </c>
      <c r="H38" s="4"/>
    </row>
    <row r="39" spans="2:8" x14ac:dyDescent="0.35">
      <c r="B39" s="2">
        <v>10</v>
      </c>
      <c r="C39" s="4"/>
      <c r="D39" s="2" t="s">
        <v>53</v>
      </c>
      <c r="E39" s="2" t="s">
        <v>46</v>
      </c>
      <c r="F39" s="16"/>
      <c r="G39" s="3" t="s">
        <v>13</v>
      </c>
      <c r="H39" s="4"/>
    </row>
  </sheetData>
  <mergeCells count="3">
    <mergeCell ref="B1:H1"/>
    <mergeCell ref="B14:H14"/>
    <mergeCell ref="B28:H28"/>
  </mergeCells>
  <conditionalFormatting sqref="G3:G12">
    <cfRule type="cellIs" dxfId="15" priority="7" operator="equal">
      <formula>"Completed"</formula>
    </cfRule>
    <cfRule type="cellIs" dxfId="14" priority="8" operator="equal">
      <formula>"Ongoing"</formula>
    </cfRule>
    <cfRule type="cellIs" dxfId="13" priority="9" operator="equal">
      <formula>"Not Started"</formula>
    </cfRule>
  </conditionalFormatting>
  <conditionalFormatting sqref="G16:G25">
    <cfRule type="cellIs" dxfId="12" priority="4" operator="equal">
      <formula>"Completed"</formula>
    </cfRule>
    <cfRule type="cellIs" dxfId="11" priority="5" operator="equal">
      <formula>"Ongoing"</formula>
    </cfRule>
    <cfRule type="cellIs" dxfId="10" priority="6" operator="equal">
      <formula>"Not Started"</formula>
    </cfRule>
  </conditionalFormatting>
  <conditionalFormatting sqref="G30:G39">
    <cfRule type="cellIs" dxfId="9" priority="1" operator="equal">
      <formula>"Completed"</formula>
    </cfRule>
    <cfRule type="cellIs" dxfId="8" priority="2" operator="equal">
      <formula>"Ongoing"</formula>
    </cfRule>
    <cfRule type="cellIs" dxfId="7" priority="3" operator="equal">
      <formula>"Not Started"</formula>
    </cfRule>
  </conditionalFormatting>
  <dataValidations count="3">
    <dataValidation type="list" allowBlank="1" showInputMessage="1" showErrorMessage="1" sqref="G3:G12 G16:G25 G30:G39" xr:uid="{F3E0DB48-E73B-43D8-926E-DDE129C5739E}">
      <formula1>"Not Started, Ongoing, Completed"</formula1>
    </dataValidation>
    <dataValidation type="list" allowBlank="1" showInputMessage="1" showErrorMessage="1" sqref="D3:D12 D16:D25" xr:uid="{47973961-CE79-4A35-AE1F-CA2354DE607B}">
      <formula1>"Action, Issue, Dependency, Risk"</formula1>
    </dataValidation>
    <dataValidation type="list" allowBlank="1" showInputMessage="1" showErrorMessage="1" sqref="D30:D39" xr:uid="{FD99A531-D696-47E3-ACAA-E100523D2EA6}">
      <formula1>"Action, Issue, Dependency, Risk, Decision"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0455C-49F2-4460-AF89-16116DA2D5A1}">
  <dimension ref="B1:K20"/>
  <sheetViews>
    <sheetView tabSelected="1" zoomScale="80" workbookViewId="0">
      <selection activeCell="I18" sqref="I18"/>
    </sheetView>
  </sheetViews>
  <sheetFormatPr defaultRowHeight="14.5" x14ac:dyDescent="0.35"/>
  <cols>
    <col min="1" max="1" width="2.26953125" style="1" customWidth="1"/>
    <col min="2" max="2" width="4.453125" style="1" customWidth="1"/>
    <col min="3" max="3" width="24" style="1" customWidth="1"/>
    <col min="4" max="4" width="11.90625" style="1" customWidth="1"/>
    <col min="5" max="5" width="11.54296875" style="1" customWidth="1"/>
    <col min="6" max="6" width="13.54296875" style="1" customWidth="1"/>
    <col min="7" max="8" width="8.7265625" style="1"/>
    <col min="9" max="9" width="34" style="1" customWidth="1"/>
    <col min="10" max="16384" width="8.7265625" style="1"/>
  </cols>
  <sheetData>
    <row r="1" spans="2:11" ht="13" customHeight="1" x14ac:dyDescent="0.35"/>
    <row r="2" spans="2:11" ht="33.5" customHeight="1" x14ac:dyDescent="0.35">
      <c r="B2" s="17" t="s">
        <v>18</v>
      </c>
      <c r="C2" s="17" t="s">
        <v>68</v>
      </c>
      <c r="D2" s="17" t="s">
        <v>69</v>
      </c>
      <c r="E2" s="17" t="s">
        <v>70</v>
      </c>
      <c r="F2" s="17" t="s">
        <v>2</v>
      </c>
    </row>
    <row r="3" spans="2:11" x14ac:dyDescent="0.35">
      <c r="B3" s="18">
        <v>1</v>
      </c>
      <c r="C3" s="18" t="s">
        <v>71</v>
      </c>
      <c r="D3" s="30">
        <v>46014</v>
      </c>
      <c r="E3" s="30">
        <v>46028</v>
      </c>
      <c r="F3" s="3" t="s">
        <v>14</v>
      </c>
    </row>
    <row r="4" spans="2:11" x14ac:dyDescent="0.35">
      <c r="B4" s="4">
        <v>1.1000000000000001</v>
      </c>
      <c r="C4" s="20" t="s">
        <v>77</v>
      </c>
      <c r="D4" s="22">
        <v>46014</v>
      </c>
      <c r="E4" s="22">
        <v>46020</v>
      </c>
      <c r="F4" s="3" t="s">
        <v>14</v>
      </c>
    </row>
    <row r="5" spans="2:11" x14ac:dyDescent="0.35">
      <c r="B5" s="4">
        <v>1.2</v>
      </c>
      <c r="C5" s="20" t="s">
        <v>78</v>
      </c>
      <c r="D5" s="22">
        <v>46021</v>
      </c>
      <c r="E5" s="22">
        <v>46027</v>
      </c>
      <c r="F5" s="3" t="s">
        <v>14</v>
      </c>
    </row>
    <row r="6" spans="2:11" ht="15" thickBot="1" x14ac:dyDescent="0.4">
      <c r="B6" s="18">
        <v>2</v>
      </c>
      <c r="C6" s="18" t="s">
        <v>72</v>
      </c>
      <c r="D6" s="30">
        <v>46029</v>
      </c>
      <c r="E6" s="30">
        <v>46035</v>
      </c>
      <c r="F6" s="3" t="s">
        <v>93</v>
      </c>
      <c r="K6" s="59"/>
    </row>
    <row r="7" spans="2:11" x14ac:dyDescent="0.35">
      <c r="B7" s="4">
        <v>2.1</v>
      </c>
      <c r="C7" s="20" t="s">
        <v>79</v>
      </c>
      <c r="D7" s="22">
        <v>46029</v>
      </c>
      <c r="E7" s="22">
        <v>46065</v>
      </c>
      <c r="F7" s="3" t="s">
        <v>13</v>
      </c>
      <c r="I7" s="24" t="s">
        <v>91</v>
      </c>
      <c r="J7" s="25"/>
      <c r="K7" s="59"/>
    </row>
    <row r="8" spans="2:11" x14ac:dyDescent="0.35">
      <c r="B8" s="18">
        <v>3</v>
      </c>
      <c r="C8" s="18" t="s">
        <v>73</v>
      </c>
      <c r="D8" s="30">
        <v>46065</v>
      </c>
      <c r="E8" s="30">
        <v>46096</v>
      </c>
      <c r="F8" s="3" t="s">
        <v>13</v>
      </c>
      <c r="I8" s="28" t="s">
        <v>88</v>
      </c>
      <c r="J8" s="56"/>
      <c r="K8" s="59"/>
    </row>
    <row r="9" spans="2:11" x14ac:dyDescent="0.35">
      <c r="B9" s="4">
        <v>3.1</v>
      </c>
      <c r="C9" s="20" t="s">
        <v>80</v>
      </c>
      <c r="D9" s="22">
        <v>46065</v>
      </c>
      <c r="E9" s="22">
        <v>46072</v>
      </c>
      <c r="F9" s="3" t="s">
        <v>14</v>
      </c>
      <c r="I9" s="4" t="s">
        <v>89</v>
      </c>
      <c r="J9" s="57"/>
      <c r="K9" s="59"/>
    </row>
    <row r="10" spans="2:11" x14ac:dyDescent="0.35">
      <c r="B10" s="4">
        <v>3.2</v>
      </c>
      <c r="C10" s="20" t="s">
        <v>81</v>
      </c>
      <c r="D10" s="22">
        <v>46072</v>
      </c>
      <c r="E10" s="22">
        <v>46081</v>
      </c>
      <c r="F10" s="3" t="s">
        <v>15</v>
      </c>
      <c r="I10" s="4" t="s">
        <v>90</v>
      </c>
      <c r="J10" s="58"/>
      <c r="K10" s="59"/>
    </row>
    <row r="11" spans="2:11" ht="15" thickBot="1" x14ac:dyDescent="0.4">
      <c r="B11" s="4">
        <v>3.3</v>
      </c>
      <c r="C11" s="20" t="s">
        <v>82</v>
      </c>
      <c r="D11" s="22">
        <v>46082</v>
      </c>
      <c r="E11" s="22">
        <v>46095</v>
      </c>
      <c r="F11" s="3" t="s">
        <v>13</v>
      </c>
      <c r="I11" s="26"/>
      <c r="J11" s="27"/>
      <c r="K11" s="59"/>
    </row>
    <row r="12" spans="2:11" x14ac:dyDescent="0.35">
      <c r="B12" s="21">
        <v>4</v>
      </c>
      <c r="C12" s="19" t="s">
        <v>75</v>
      </c>
      <c r="D12" s="30">
        <v>46098</v>
      </c>
      <c r="E12" s="30">
        <v>46116</v>
      </c>
      <c r="F12" s="3" t="s">
        <v>92</v>
      </c>
      <c r="K12" s="59"/>
    </row>
    <row r="13" spans="2:11" x14ac:dyDescent="0.35">
      <c r="B13" s="4">
        <v>4.0999999999999996</v>
      </c>
      <c r="C13" s="20" t="s">
        <v>83</v>
      </c>
      <c r="D13" s="22">
        <v>46099</v>
      </c>
      <c r="E13" s="22">
        <v>46114</v>
      </c>
      <c r="F13" s="3" t="s">
        <v>15</v>
      </c>
    </row>
    <row r="14" spans="2:11" x14ac:dyDescent="0.35">
      <c r="B14" s="18">
        <v>5</v>
      </c>
      <c r="C14" s="18" t="s">
        <v>84</v>
      </c>
      <c r="D14" s="30">
        <v>46118</v>
      </c>
      <c r="E14" s="30">
        <v>46124</v>
      </c>
      <c r="F14" s="3" t="s">
        <v>15</v>
      </c>
    </row>
    <row r="15" spans="2:11" x14ac:dyDescent="0.35">
      <c r="B15" s="18">
        <v>6</v>
      </c>
      <c r="C15" s="18" t="s">
        <v>74</v>
      </c>
      <c r="D15" s="30">
        <v>46127</v>
      </c>
      <c r="E15" s="30">
        <v>46162</v>
      </c>
      <c r="F15" s="3" t="s">
        <v>93</v>
      </c>
    </row>
    <row r="16" spans="2:11" x14ac:dyDescent="0.35">
      <c r="B16" s="4">
        <v>6.1</v>
      </c>
      <c r="C16" s="29" t="s">
        <v>94</v>
      </c>
      <c r="D16" s="22">
        <v>46129</v>
      </c>
      <c r="E16" s="22">
        <v>46144</v>
      </c>
      <c r="F16" s="3" t="s">
        <v>13</v>
      </c>
    </row>
    <row r="17" spans="2:6" x14ac:dyDescent="0.35">
      <c r="B17" s="4">
        <v>6.2</v>
      </c>
      <c r="C17" s="20" t="s">
        <v>85</v>
      </c>
      <c r="D17" s="22">
        <v>46146</v>
      </c>
      <c r="E17" s="22">
        <v>46154</v>
      </c>
      <c r="F17" s="3" t="s">
        <v>13</v>
      </c>
    </row>
    <row r="18" spans="2:6" x14ac:dyDescent="0.35">
      <c r="B18" s="4">
        <v>6.3</v>
      </c>
      <c r="C18" s="20" t="s">
        <v>86</v>
      </c>
      <c r="D18" s="22">
        <v>46155</v>
      </c>
      <c r="E18" s="22">
        <v>46161</v>
      </c>
      <c r="F18" s="3" t="s">
        <v>13</v>
      </c>
    </row>
    <row r="19" spans="2:6" x14ac:dyDescent="0.35">
      <c r="B19" s="18">
        <v>7</v>
      </c>
      <c r="C19" s="18" t="s">
        <v>76</v>
      </c>
      <c r="D19" s="30">
        <v>46164</v>
      </c>
      <c r="E19" s="30">
        <v>46174</v>
      </c>
      <c r="F19" s="3" t="s">
        <v>15</v>
      </c>
    </row>
    <row r="20" spans="2:6" x14ac:dyDescent="0.35">
      <c r="B20" s="4">
        <v>7.1</v>
      </c>
      <c r="C20" s="20" t="s">
        <v>87</v>
      </c>
      <c r="D20" s="22">
        <v>46165</v>
      </c>
      <c r="E20" s="22">
        <v>46202</v>
      </c>
      <c r="F20" s="3" t="s">
        <v>15</v>
      </c>
    </row>
  </sheetData>
  <conditionalFormatting sqref="F3:F20">
    <cfRule type="cellIs" dxfId="6" priority="1" operator="equal">
      <formula>"Delayed"</formula>
    </cfRule>
    <cfRule type="cellIs" dxfId="5" priority="2" operator="equal">
      <formula>"At Risk"</formula>
    </cfRule>
    <cfRule type="cellIs" dxfId="4" priority="3" operator="equal">
      <formula>"Completed"</formula>
    </cfRule>
    <cfRule type="cellIs" dxfId="3" priority="4" operator="equal">
      <formula>"Ongoing"</formula>
    </cfRule>
    <cfRule type="cellIs" dxfId="2" priority="5" operator="equal">
      <formula>"Not Started"</formula>
    </cfRule>
  </conditionalFormatting>
  <dataValidations count="1">
    <dataValidation type="list" allowBlank="1" showInputMessage="1" showErrorMessage="1" sqref="F3:F20" xr:uid="{8166C4F7-D39B-40E6-AFFF-0D760DB07B87}">
      <formula1>"Not Started, Ongoing, Completed, At Risk, Delayed"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1079E-46DF-4966-AD22-928245A1C0D5}">
  <dimension ref="B1:AF22"/>
  <sheetViews>
    <sheetView zoomScale="66" workbookViewId="0">
      <selection activeCell="K11" sqref="K11"/>
    </sheetView>
  </sheetViews>
  <sheetFormatPr defaultRowHeight="14.5" x14ac:dyDescent="0.35"/>
  <cols>
    <col min="1" max="1" width="2.81640625" style="1" customWidth="1"/>
    <col min="2" max="2" width="4" style="1" customWidth="1"/>
    <col min="3" max="3" width="27.08984375" style="1" customWidth="1"/>
    <col min="4" max="4" width="12.08984375" style="1" customWidth="1"/>
    <col min="5" max="5" width="12.6328125" style="1" customWidth="1"/>
    <col min="6" max="7" width="6.453125" style="1" bestFit="1" customWidth="1"/>
    <col min="8" max="11" width="5.90625" style="1" bestFit="1" customWidth="1"/>
    <col min="12" max="20" width="6.26953125" style="1" bestFit="1" customWidth="1"/>
    <col min="21" max="24" width="6" style="1" bestFit="1" customWidth="1"/>
    <col min="25" max="28" width="6.54296875" style="1" bestFit="1" customWidth="1"/>
    <col min="29" max="32" width="6" style="1" bestFit="1" customWidth="1"/>
    <col min="33" max="16384" width="8.7265625" style="1"/>
  </cols>
  <sheetData>
    <row r="1" spans="2:32" ht="12" customHeight="1" x14ac:dyDescent="0.35"/>
    <row r="2" spans="2:32" ht="19" customHeight="1" x14ac:dyDescent="0.35">
      <c r="B2" s="55" t="s">
        <v>18</v>
      </c>
      <c r="C2" s="55" t="s">
        <v>68</v>
      </c>
      <c r="D2" s="55" t="s">
        <v>69</v>
      </c>
      <c r="E2" s="55" t="s">
        <v>70</v>
      </c>
      <c r="F2" s="55">
        <v>2025</v>
      </c>
      <c r="G2" s="55"/>
      <c r="H2" s="55">
        <v>2026</v>
      </c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</row>
    <row r="3" spans="2:32" ht="20.5" customHeight="1" x14ac:dyDescent="0.35">
      <c r="B3" s="55"/>
      <c r="C3" s="55"/>
      <c r="D3" s="55"/>
      <c r="E3" s="55"/>
      <c r="F3" s="55" t="s">
        <v>95</v>
      </c>
      <c r="G3" s="55"/>
      <c r="H3" s="55" t="s">
        <v>96</v>
      </c>
      <c r="I3" s="55"/>
      <c r="J3" s="55"/>
      <c r="K3" s="55"/>
      <c r="L3" s="55" t="s">
        <v>97</v>
      </c>
      <c r="M3" s="55"/>
      <c r="N3" s="55"/>
      <c r="O3" s="55"/>
      <c r="P3" s="55" t="s">
        <v>98</v>
      </c>
      <c r="Q3" s="55"/>
      <c r="R3" s="55"/>
      <c r="S3" s="55"/>
      <c r="T3" s="55"/>
      <c r="U3" s="55" t="s">
        <v>99</v>
      </c>
      <c r="V3" s="55"/>
      <c r="W3" s="55"/>
      <c r="X3" s="55"/>
      <c r="Y3" s="55" t="s">
        <v>100</v>
      </c>
      <c r="Z3" s="55"/>
      <c r="AA3" s="55"/>
      <c r="AB3" s="55"/>
      <c r="AC3" s="55" t="s">
        <v>101</v>
      </c>
      <c r="AD3" s="55"/>
      <c r="AE3" s="55"/>
      <c r="AF3" s="55"/>
    </row>
    <row r="4" spans="2:32" ht="20" customHeight="1" x14ac:dyDescent="0.35">
      <c r="B4" s="55"/>
      <c r="C4" s="55"/>
      <c r="D4" s="55"/>
      <c r="E4" s="55"/>
      <c r="F4" s="34">
        <v>46378</v>
      </c>
      <c r="G4" s="34">
        <v>46385</v>
      </c>
      <c r="H4" s="34">
        <v>46392</v>
      </c>
      <c r="I4" s="34">
        <v>46399</v>
      </c>
      <c r="J4" s="34">
        <v>46406</v>
      </c>
      <c r="K4" s="34">
        <v>46413</v>
      </c>
      <c r="L4" s="34">
        <v>46420</v>
      </c>
      <c r="M4" s="34">
        <v>46427</v>
      </c>
      <c r="N4" s="34">
        <v>46434</v>
      </c>
      <c r="O4" s="34">
        <v>46441</v>
      </c>
      <c r="P4" s="34">
        <v>46448</v>
      </c>
      <c r="Q4" s="34">
        <v>46455</v>
      </c>
      <c r="R4" s="34">
        <v>46462</v>
      </c>
      <c r="S4" s="34">
        <v>46469</v>
      </c>
      <c r="T4" s="34">
        <v>46476</v>
      </c>
      <c r="U4" s="34">
        <v>46483</v>
      </c>
      <c r="V4" s="34">
        <v>46490</v>
      </c>
      <c r="W4" s="34">
        <v>46497</v>
      </c>
      <c r="X4" s="34">
        <v>46504</v>
      </c>
      <c r="Y4" s="34">
        <v>46511</v>
      </c>
      <c r="Z4" s="34">
        <v>46518</v>
      </c>
      <c r="AA4" s="34">
        <v>46525</v>
      </c>
      <c r="AB4" s="34">
        <v>46532</v>
      </c>
      <c r="AC4" s="34">
        <v>46539</v>
      </c>
      <c r="AD4" s="34">
        <v>46546</v>
      </c>
      <c r="AE4" s="34">
        <v>46553</v>
      </c>
      <c r="AF4" s="34">
        <v>46560</v>
      </c>
    </row>
    <row r="5" spans="2:32" x14ac:dyDescent="0.35">
      <c r="B5" s="18">
        <v>1</v>
      </c>
      <c r="C5" s="18" t="s">
        <v>71</v>
      </c>
      <c r="D5" s="30">
        <v>46014</v>
      </c>
      <c r="E5" s="30">
        <v>46028</v>
      </c>
      <c r="F5" s="23"/>
      <c r="G5" s="23"/>
      <c r="H5" s="23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 s="31"/>
    </row>
    <row r="6" spans="2:32" x14ac:dyDescent="0.35">
      <c r="B6" s="4">
        <v>1.1000000000000001</v>
      </c>
      <c r="C6" s="20" t="s">
        <v>77</v>
      </c>
      <c r="D6" s="22">
        <v>46014</v>
      </c>
      <c r="E6" s="22">
        <v>46020</v>
      </c>
      <c r="F6" s="23"/>
      <c r="G6" s="23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 s="31"/>
    </row>
    <row r="7" spans="2:32" x14ac:dyDescent="0.35">
      <c r="B7" s="4">
        <v>1.2</v>
      </c>
      <c r="C7" s="20" t="s">
        <v>78</v>
      </c>
      <c r="D7" s="22">
        <v>46021</v>
      </c>
      <c r="E7" s="22">
        <v>46027</v>
      </c>
      <c r="F7"/>
      <c r="G7"/>
      <c r="H7" s="23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 s="31"/>
    </row>
    <row r="8" spans="2:32" x14ac:dyDescent="0.35">
      <c r="B8" s="18">
        <v>2</v>
      </c>
      <c r="C8" s="18" t="s">
        <v>72</v>
      </c>
      <c r="D8" s="30">
        <v>46029</v>
      </c>
      <c r="E8" s="30">
        <v>46065</v>
      </c>
      <c r="F8"/>
      <c r="G8"/>
      <c r="H8"/>
      <c r="I8" s="23"/>
      <c r="J8" s="23"/>
      <c r="K8" s="23"/>
      <c r="L8" s="23"/>
      <c r="M8" s="23"/>
      <c r="N8" s="23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 s="31"/>
    </row>
    <row r="9" spans="2:32" x14ac:dyDescent="0.35">
      <c r="B9" s="4">
        <v>2.1</v>
      </c>
      <c r="C9" s="20" t="s">
        <v>79</v>
      </c>
      <c r="D9" s="22">
        <v>46029</v>
      </c>
      <c r="E9" s="22">
        <v>46065</v>
      </c>
      <c r="F9"/>
      <c r="G9"/>
      <c r="H9"/>
      <c r="I9" s="23"/>
      <c r="J9" s="23"/>
      <c r="K9" s="23"/>
      <c r="L9" s="23"/>
      <c r="M9" s="23"/>
      <c r="N9" s="23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 s="31"/>
    </row>
    <row r="10" spans="2:32" x14ac:dyDescent="0.35">
      <c r="B10" s="18">
        <v>3</v>
      </c>
      <c r="C10" s="18" t="s">
        <v>73</v>
      </c>
      <c r="D10" s="30">
        <v>46065</v>
      </c>
      <c r="E10" s="30">
        <v>46096</v>
      </c>
      <c r="F10"/>
      <c r="G10"/>
      <c r="H10"/>
      <c r="I10"/>
      <c r="J10"/>
      <c r="K10"/>
      <c r="L10"/>
      <c r="M10"/>
      <c r="N10" s="23"/>
      <c r="O10" s="23"/>
      <c r="P10" s="23"/>
      <c r="Q10" s="23"/>
      <c r="R10" s="23"/>
      <c r="S10"/>
      <c r="T10"/>
      <c r="U10"/>
      <c r="V10"/>
      <c r="W10"/>
      <c r="X10"/>
      <c r="Y10"/>
      <c r="Z10"/>
      <c r="AA10"/>
      <c r="AB10"/>
      <c r="AC10"/>
      <c r="AD10"/>
      <c r="AE10"/>
      <c r="AF10" s="31"/>
    </row>
    <row r="11" spans="2:32" x14ac:dyDescent="0.35">
      <c r="B11" s="4">
        <v>3.1</v>
      </c>
      <c r="C11" s="20" t="s">
        <v>80</v>
      </c>
      <c r="D11" s="22">
        <v>46065</v>
      </c>
      <c r="E11" s="22">
        <v>46072</v>
      </c>
      <c r="F11"/>
      <c r="G11"/>
      <c r="H11"/>
      <c r="I11"/>
      <c r="J11"/>
      <c r="K11"/>
      <c r="L11"/>
      <c r="M11"/>
      <c r="N11" s="23"/>
      <c r="O11" s="23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 s="31"/>
    </row>
    <row r="12" spans="2:32" x14ac:dyDescent="0.35">
      <c r="B12" s="4">
        <v>3.2</v>
      </c>
      <c r="C12" s="20" t="s">
        <v>81</v>
      </c>
      <c r="D12" s="22">
        <v>46072</v>
      </c>
      <c r="E12" s="22">
        <v>46081</v>
      </c>
      <c r="F12"/>
      <c r="G12"/>
      <c r="H12"/>
      <c r="I12"/>
      <c r="J12"/>
      <c r="K12"/>
      <c r="L12"/>
      <c r="M12"/>
      <c r="N12"/>
      <c r="O12" s="23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 s="31"/>
    </row>
    <row r="13" spans="2:32" x14ac:dyDescent="0.35">
      <c r="B13" s="4">
        <v>3.3</v>
      </c>
      <c r="C13" s="20" t="s">
        <v>82</v>
      </c>
      <c r="D13" s="22">
        <v>46082</v>
      </c>
      <c r="E13" s="22">
        <v>46095</v>
      </c>
      <c r="F13"/>
      <c r="G13"/>
      <c r="H13"/>
      <c r="I13"/>
      <c r="J13"/>
      <c r="K13"/>
      <c r="L13"/>
      <c r="M13"/>
      <c r="N13"/>
      <c r="O13"/>
      <c r="P13" s="23"/>
      <c r="Q13" s="23"/>
      <c r="R13" s="23"/>
      <c r="S13"/>
      <c r="T13"/>
      <c r="U13"/>
      <c r="V13"/>
      <c r="W13"/>
      <c r="X13"/>
      <c r="Y13"/>
      <c r="Z13"/>
      <c r="AA13"/>
      <c r="AB13"/>
      <c r="AC13"/>
      <c r="AD13"/>
      <c r="AE13"/>
      <c r="AF13" s="31"/>
    </row>
    <row r="14" spans="2:32" x14ac:dyDescent="0.35">
      <c r="B14" s="21">
        <v>4</v>
      </c>
      <c r="C14" s="19" t="s">
        <v>75</v>
      </c>
      <c r="D14" s="30">
        <v>46098</v>
      </c>
      <c r="E14" s="30">
        <v>46116</v>
      </c>
      <c r="F14"/>
      <c r="G14"/>
      <c r="H14"/>
      <c r="I14"/>
      <c r="J14"/>
      <c r="K14"/>
      <c r="L14"/>
      <c r="M14"/>
      <c r="N14"/>
      <c r="O14"/>
      <c r="P14"/>
      <c r="Q14"/>
      <c r="R14" s="23"/>
      <c r="S14" s="23"/>
      <c r="T14" s="23"/>
      <c r="U14" s="23"/>
      <c r="V14"/>
      <c r="W14"/>
      <c r="X14"/>
      <c r="Y14"/>
      <c r="Z14"/>
      <c r="AA14"/>
      <c r="AB14"/>
      <c r="AC14"/>
      <c r="AD14"/>
      <c r="AE14"/>
      <c r="AF14" s="31"/>
    </row>
    <row r="15" spans="2:32" x14ac:dyDescent="0.35">
      <c r="B15" s="4">
        <v>4.0999999999999996</v>
      </c>
      <c r="C15" s="20" t="s">
        <v>83</v>
      </c>
      <c r="D15" s="22">
        <v>46099</v>
      </c>
      <c r="E15" s="22">
        <v>46114</v>
      </c>
      <c r="F15"/>
      <c r="G15"/>
      <c r="H15"/>
      <c r="I15"/>
      <c r="J15"/>
      <c r="K15"/>
      <c r="L15"/>
      <c r="M15"/>
      <c r="N15"/>
      <c r="O15"/>
      <c r="P15"/>
      <c r="Q15"/>
      <c r="R15" s="23"/>
      <c r="S15" s="23"/>
      <c r="T15" s="23"/>
      <c r="U15" s="23"/>
      <c r="V15"/>
      <c r="W15"/>
      <c r="X15"/>
      <c r="Y15"/>
      <c r="Z15"/>
      <c r="AA15"/>
      <c r="AB15"/>
      <c r="AC15"/>
      <c r="AD15"/>
      <c r="AE15"/>
      <c r="AF15" s="31"/>
    </row>
    <row r="16" spans="2:32" x14ac:dyDescent="0.35">
      <c r="B16" s="18">
        <v>5</v>
      </c>
      <c r="C16" s="18" t="s">
        <v>84</v>
      </c>
      <c r="D16" s="30">
        <v>46118</v>
      </c>
      <c r="E16" s="30">
        <v>46124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 s="23"/>
      <c r="V16" s="23"/>
      <c r="W16"/>
      <c r="X16"/>
      <c r="Y16"/>
      <c r="Z16"/>
      <c r="AA16"/>
      <c r="AB16"/>
      <c r="AC16"/>
      <c r="AD16"/>
      <c r="AE16"/>
      <c r="AF16" s="31"/>
    </row>
    <row r="17" spans="2:32" x14ac:dyDescent="0.35">
      <c r="B17" s="18">
        <v>6</v>
      </c>
      <c r="C17" s="18" t="s">
        <v>74</v>
      </c>
      <c r="D17" s="30">
        <v>46127</v>
      </c>
      <c r="E17" s="30">
        <v>46162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 s="23"/>
      <c r="W17" s="23"/>
      <c r="X17" s="23"/>
      <c r="Y17" s="23"/>
      <c r="Z17" s="23"/>
      <c r="AA17" s="23"/>
      <c r="AB17"/>
      <c r="AC17"/>
      <c r="AD17"/>
      <c r="AE17"/>
      <c r="AF17" s="31"/>
    </row>
    <row r="18" spans="2:32" x14ac:dyDescent="0.35">
      <c r="B18" s="4">
        <v>6.1</v>
      </c>
      <c r="C18" s="29" t="s">
        <v>94</v>
      </c>
      <c r="D18" s="22">
        <v>46129</v>
      </c>
      <c r="E18" s="22">
        <v>46144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 s="23"/>
      <c r="W18" s="23"/>
      <c r="X18" s="23"/>
      <c r="Y18" s="23"/>
      <c r="Z18"/>
      <c r="AA18"/>
      <c r="AB18"/>
      <c r="AC18"/>
      <c r="AD18"/>
      <c r="AE18"/>
      <c r="AF18" s="31"/>
    </row>
    <row r="19" spans="2:32" x14ac:dyDescent="0.35">
      <c r="B19" s="4">
        <v>6.2</v>
      </c>
      <c r="C19" s="20" t="s">
        <v>85</v>
      </c>
      <c r="D19" s="22">
        <v>46146</v>
      </c>
      <c r="E19" s="22">
        <v>46154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 s="23"/>
      <c r="Z19" s="23"/>
      <c r="AA19"/>
      <c r="AB19"/>
      <c r="AC19"/>
      <c r="AD19"/>
      <c r="AE19"/>
      <c r="AF19" s="31"/>
    </row>
    <row r="20" spans="2:32" x14ac:dyDescent="0.35">
      <c r="B20" s="4">
        <v>6.3</v>
      </c>
      <c r="C20" s="20" t="s">
        <v>86</v>
      </c>
      <c r="D20" s="22">
        <v>46155</v>
      </c>
      <c r="E20" s="22">
        <v>46161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 s="23"/>
      <c r="AA20" s="23"/>
      <c r="AB20"/>
      <c r="AC20"/>
      <c r="AD20"/>
      <c r="AE20"/>
      <c r="AF20" s="31"/>
    </row>
    <row r="21" spans="2:32" x14ac:dyDescent="0.35">
      <c r="B21" s="18">
        <v>7</v>
      </c>
      <c r="C21" s="18" t="s">
        <v>76</v>
      </c>
      <c r="D21" s="30">
        <v>46164</v>
      </c>
      <c r="E21" s="30">
        <v>46193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 s="23"/>
      <c r="AB21" s="23"/>
      <c r="AC21" s="23"/>
      <c r="AD21" s="23"/>
      <c r="AE21" s="23"/>
      <c r="AF21" s="31"/>
    </row>
    <row r="22" spans="2:32" x14ac:dyDescent="0.35">
      <c r="B22" s="4">
        <v>7.1</v>
      </c>
      <c r="C22" s="20" t="s">
        <v>87</v>
      </c>
      <c r="D22" s="22">
        <v>46165</v>
      </c>
      <c r="E22" s="22">
        <v>46191</v>
      </c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5"/>
      <c r="AB22" s="35"/>
      <c r="AC22" s="35"/>
      <c r="AD22" s="35"/>
      <c r="AE22" s="35"/>
      <c r="AF22" s="33"/>
    </row>
  </sheetData>
  <mergeCells count="13">
    <mergeCell ref="B2:B4"/>
    <mergeCell ref="C2:C4"/>
    <mergeCell ref="D2:D4"/>
    <mergeCell ref="E2:E4"/>
    <mergeCell ref="U3:X3"/>
    <mergeCell ref="Y3:AB3"/>
    <mergeCell ref="AC3:AF3"/>
    <mergeCell ref="F2:G2"/>
    <mergeCell ref="H2:AF2"/>
    <mergeCell ref="F3:G3"/>
    <mergeCell ref="H3:K3"/>
    <mergeCell ref="L3:O3"/>
    <mergeCell ref="P3:T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BE5DC-5672-41EA-BB5B-20DD594671AE}">
  <dimension ref="B1:M18"/>
  <sheetViews>
    <sheetView zoomScale="98" workbookViewId="0">
      <selection activeCell="H15" sqref="H15"/>
    </sheetView>
  </sheetViews>
  <sheetFormatPr defaultRowHeight="14.5" x14ac:dyDescent="0.35"/>
  <cols>
    <col min="1" max="1" width="2.36328125" style="1" customWidth="1"/>
    <col min="2" max="2" width="3.453125" style="1" customWidth="1"/>
    <col min="3" max="4" width="15.7265625" style="1" customWidth="1"/>
    <col min="5" max="5" width="18.453125" style="1" bestFit="1" customWidth="1"/>
    <col min="6" max="6" width="16" style="1" bestFit="1" customWidth="1"/>
    <col min="7" max="7" width="11.81640625" style="1" customWidth="1"/>
    <col min="8" max="8" width="17.81640625" style="1" bestFit="1" customWidth="1"/>
    <col min="9" max="9" width="12.54296875" style="1" customWidth="1"/>
    <col min="10" max="10" width="10.90625" style="1" customWidth="1"/>
    <col min="11" max="11" width="8.7265625" style="1"/>
    <col min="12" max="12" width="15.08984375" style="1" customWidth="1"/>
    <col min="13" max="13" width="12.6328125" style="1" customWidth="1"/>
    <col min="14" max="16384" width="8.7265625" style="1"/>
  </cols>
  <sheetData>
    <row r="1" spans="2:13" ht="11" customHeight="1" x14ac:dyDescent="0.35"/>
    <row r="2" spans="2:13" ht="23" customHeight="1" x14ac:dyDescent="0.35">
      <c r="B2" s="41" t="s">
        <v>18</v>
      </c>
      <c r="C2" s="41" t="s">
        <v>102</v>
      </c>
      <c r="D2" s="41" t="s">
        <v>108</v>
      </c>
      <c r="E2" s="41" t="s">
        <v>117</v>
      </c>
      <c r="F2" s="41" t="s">
        <v>114</v>
      </c>
      <c r="G2" s="41" t="s">
        <v>116</v>
      </c>
      <c r="H2" s="42" t="s">
        <v>118</v>
      </c>
      <c r="I2" s="42" t="s">
        <v>115</v>
      </c>
      <c r="J2" s="42" t="s">
        <v>119</v>
      </c>
    </row>
    <row r="3" spans="2:13" ht="6.5" customHeight="1" x14ac:dyDescent="0.35">
      <c r="B3" s="43"/>
      <c r="C3" s="43"/>
      <c r="D3" s="43"/>
      <c r="E3" s="43"/>
      <c r="F3" s="43"/>
      <c r="G3" s="43"/>
      <c r="H3" s="43"/>
      <c r="I3" s="43"/>
      <c r="J3" s="43"/>
    </row>
    <row r="4" spans="2:13" x14ac:dyDescent="0.35">
      <c r="B4" s="4">
        <v>1</v>
      </c>
      <c r="C4" s="4" t="s">
        <v>103</v>
      </c>
      <c r="D4" s="2" t="s">
        <v>109</v>
      </c>
      <c r="E4" s="37">
        <v>80</v>
      </c>
      <c r="F4" s="38">
        <v>20</v>
      </c>
      <c r="G4" s="37">
        <f>E4*F4</f>
        <v>1600</v>
      </c>
      <c r="H4" s="37">
        <v>90</v>
      </c>
      <c r="I4" s="37">
        <f>H4*F4</f>
        <v>1800</v>
      </c>
      <c r="J4" s="37">
        <f>G4-I4</f>
        <v>-200</v>
      </c>
    </row>
    <row r="5" spans="2:13" x14ac:dyDescent="0.35">
      <c r="B5" s="4">
        <v>2</v>
      </c>
      <c r="C5" s="4" t="s">
        <v>104</v>
      </c>
      <c r="D5" s="2" t="s">
        <v>109</v>
      </c>
      <c r="E5" s="37">
        <v>165</v>
      </c>
      <c r="F5" s="38">
        <v>24</v>
      </c>
      <c r="G5" s="37">
        <f t="shared" ref="G5:G16" si="0">E5*F5</f>
        <v>3960</v>
      </c>
      <c r="H5" s="37">
        <v>180</v>
      </c>
      <c r="I5" s="37">
        <f t="shared" ref="I5:I16" si="1">H5*F5</f>
        <v>4320</v>
      </c>
      <c r="J5" s="37">
        <f t="shared" ref="J5:J16" si="2">G5-I5</f>
        <v>-360</v>
      </c>
    </row>
    <row r="6" spans="2:13" x14ac:dyDescent="0.35">
      <c r="B6" s="4">
        <v>3</v>
      </c>
      <c r="C6" s="4" t="s">
        <v>105</v>
      </c>
      <c r="D6" s="2" t="s">
        <v>110</v>
      </c>
      <c r="E6" s="37">
        <v>60</v>
      </c>
      <c r="F6" s="38">
        <v>10</v>
      </c>
      <c r="G6" s="37">
        <f t="shared" si="0"/>
        <v>600</v>
      </c>
      <c r="H6" s="37">
        <v>50</v>
      </c>
      <c r="I6" s="37">
        <f t="shared" si="1"/>
        <v>500</v>
      </c>
      <c r="J6" s="37">
        <f t="shared" si="2"/>
        <v>100</v>
      </c>
    </row>
    <row r="7" spans="2:13" x14ac:dyDescent="0.35">
      <c r="B7" s="4">
        <v>4</v>
      </c>
      <c r="C7" s="4" t="s">
        <v>106</v>
      </c>
      <c r="D7" s="2" t="s">
        <v>111</v>
      </c>
      <c r="E7" s="37">
        <v>90</v>
      </c>
      <c r="F7" s="38">
        <v>5</v>
      </c>
      <c r="G7" s="37">
        <f t="shared" si="0"/>
        <v>450</v>
      </c>
      <c r="H7" s="37">
        <v>70</v>
      </c>
      <c r="I7" s="37">
        <f t="shared" si="1"/>
        <v>350</v>
      </c>
      <c r="J7" s="37">
        <f t="shared" si="2"/>
        <v>100</v>
      </c>
    </row>
    <row r="8" spans="2:13" x14ac:dyDescent="0.35">
      <c r="B8" s="4">
        <v>5</v>
      </c>
      <c r="C8" s="4" t="s">
        <v>107</v>
      </c>
      <c r="D8" s="2" t="s">
        <v>112</v>
      </c>
      <c r="E8" s="37">
        <v>600</v>
      </c>
      <c r="F8" s="38">
        <v>2</v>
      </c>
      <c r="G8" s="37">
        <f t="shared" si="0"/>
        <v>1200</v>
      </c>
      <c r="H8" s="37">
        <v>800</v>
      </c>
      <c r="I8" s="37">
        <f t="shared" si="1"/>
        <v>1600</v>
      </c>
      <c r="J8" s="37">
        <f t="shared" si="2"/>
        <v>-400</v>
      </c>
    </row>
    <row r="9" spans="2:13" x14ac:dyDescent="0.35">
      <c r="B9" s="4">
        <v>6</v>
      </c>
      <c r="C9" s="4"/>
      <c r="D9" s="4"/>
      <c r="E9" s="36"/>
      <c r="F9" s="39"/>
      <c r="G9" s="37">
        <f t="shared" si="0"/>
        <v>0</v>
      </c>
      <c r="H9" s="37">
        <v>0</v>
      </c>
      <c r="I9" s="37">
        <f t="shared" si="1"/>
        <v>0</v>
      </c>
      <c r="J9" s="37">
        <f t="shared" si="2"/>
        <v>0</v>
      </c>
      <c r="L9" s="40" t="s">
        <v>116</v>
      </c>
      <c r="M9" s="37">
        <f>G18</f>
        <v>7810</v>
      </c>
    </row>
    <row r="10" spans="2:13" x14ac:dyDescent="0.35">
      <c r="B10" s="4">
        <v>7</v>
      </c>
      <c r="C10" s="4"/>
      <c r="D10" s="4"/>
      <c r="E10" s="36"/>
      <c r="F10" s="39"/>
      <c r="G10" s="37">
        <f t="shared" si="0"/>
        <v>0</v>
      </c>
      <c r="H10" s="37">
        <v>0</v>
      </c>
      <c r="I10" s="37">
        <f t="shared" si="1"/>
        <v>0</v>
      </c>
      <c r="J10" s="37">
        <f t="shared" si="2"/>
        <v>0</v>
      </c>
      <c r="L10" s="40" t="s">
        <v>115</v>
      </c>
      <c r="M10" s="37">
        <f>I18</f>
        <v>8570</v>
      </c>
    </row>
    <row r="11" spans="2:13" x14ac:dyDescent="0.35">
      <c r="B11" s="4">
        <v>8</v>
      </c>
      <c r="C11" s="4"/>
      <c r="D11" s="4"/>
      <c r="E11" s="36"/>
      <c r="F11" s="39"/>
      <c r="G11" s="37">
        <f t="shared" si="0"/>
        <v>0</v>
      </c>
      <c r="H11" s="37">
        <v>0</v>
      </c>
      <c r="I11" s="37">
        <f t="shared" si="1"/>
        <v>0</v>
      </c>
      <c r="J11" s="37">
        <f t="shared" si="2"/>
        <v>0</v>
      </c>
      <c r="L11" s="40" t="s">
        <v>119</v>
      </c>
      <c r="M11" s="37">
        <f>J18</f>
        <v>-760</v>
      </c>
    </row>
    <row r="12" spans="2:13" x14ac:dyDescent="0.35">
      <c r="B12" s="4">
        <v>9</v>
      </c>
      <c r="C12" s="4"/>
      <c r="D12" s="4"/>
      <c r="E12" s="36"/>
      <c r="F12" s="39"/>
      <c r="G12" s="37">
        <f t="shared" si="0"/>
        <v>0</v>
      </c>
      <c r="H12" s="37">
        <v>0</v>
      </c>
      <c r="I12" s="37">
        <f t="shared" si="1"/>
        <v>0</v>
      </c>
      <c r="J12" s="37">
        <f t="shared" si="2"/>
        <v>0</v>
      </c>
      <c r="L12" s="40"/>
      <c r="M12" s="2"/>
    </row>
    <row r="13" spans="2:13" x14ac:dyDescent="0.35">
      <c r="B13" s="4">
        <v>10</v>
      </c>
      <c r="C13" s="4"/>
      <c r="D13" s="4"/>
      <c r="E13" s="36"/>
      <c r="F13" s="39"/>
      <c r="G13" s="37">
        <f t="shared" si="0"/>
        <v>0</v>
      </c>
      <c r="H13" s="37">
        <v>0</v>
      </c>
      <c r="I13" s="37">
        <f t="shared" si="1"/>
        <v>0</v>
      </c>
      <c r="J13" s="37">
        <f t="shared" si="2"/>
        <v>0</v>
      </c>
    </row>
    <row r="14" spans="2:13" x14ac:dyDescent="0.35">
      <c r="B14" s="4">
        <v>11</v>
      </c>
      <c r="C14" s="4"/>
      <c r="D14" s="4"/>
      <c r="E14" s="36"/>
      <c r="F14" s="39"/>
      <c r="G14" s="37">
        <f t="shared" si="0"/>
        <v>0</v>
      </c>
      <c r="H14" s="37">
        <v>0</v>
      </c>
      <c r="I14" s="37">
        <f t="shared" si="1"/>
        <v>0</v>
      </c>
      <c r="J14" s="37">
        <f t="shared" si="2"/>
        <v>0</v>
      </c>
    </row>
    <row r="15" spans="2:13" x14ac:dyDescent="0.35">
      <c r="B15" s="4">
        <v>12</v>
      </c>
      <c r="C15" s="4"/>
      <c r="D15" s="4"/>
      <c r="E15" s="36"/>
      <c r="F15" s="39"/>
      <c r="G15" s="37">
        <f t="shared" si="0"/>
        <v>0</v>
      </c>
      <c r="H15" s="37">
        <v>0</v>
      </c>
      <c r="I15" s="37">
        <f t="shared" si="1"/>
        <v>0</v>
      </c>
      <c r="J15" s="37">
        <f t="shared" si="2"/>
        <v>0</v>
      </c>
    </row>
    <row r="16" spans="2:13" x14ac:dyDescent="0.35">
      <c r="B16" s="4">
        <v>13</v>
      </c>
      <c r="C16" s="4"/>
      <c r="D16" s="4"/>
      <c r="E16" s="44"/>
      <c r="F16" s="45"/>
      <c r="G16" s="46">
        <f t="shared" si="0"/>
        <v>0</v>
      </c>
      <c r="H16" s="46">
        <v>0</v>
      </c>
      <c r="I16" s="46">
        <f t="shared" si="1"/>
        <v>0</v>
      </c>
      <c r="J16" s="46">
        <f t="shared" si="2"/>
        <v>0</v>
      </c>
    </row>
    <row r="17" spans="5:10" ht="8" customHeight="1" x14ac:dyDescent="0.35">
      <c r="E17" s="51"/>
      <c r="F17" s="49"/>
      <c r="G17" s="50"/>
      <c r="H17" s="50"/>
      <c r="I17" s="50"/>
      <c r="J17" s="50"/>
    </row>
    <row r="18" spans="5:10" x14ac:dyDescent="0.35">
      <c r="F18" s="47" t="s">
        <v>113</v>
      </c>
      <c r="G18" s="48">
        <f>SUM(G4:G16)</f>
        <v>7810</v>
      </c>
      <c r="H18" s="48"/>
      <c r="I18" s="48">
        <f>SUM(I4:I16)</f>
        <v>8570</v>
      </c>
      <c r="J18" s="48">
        <f>SUM(J4:J16)</f>
        <v>-760</v>
      </c>
    </row>
  </sheetData>
  <conditionalFormatting sqref="J4:J18">
    <cfRule type="cellIs" dxfId="1" priority="2" operator="lessThan">
      <formula>0</formula>
    </cfRule>
  </conditionalFormatting>
  <conditionalFormatting sqref="M11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Tracker1</vt:lpstr>
      <vt:lpstr>Tracker2</vt:lpstr>
      <vt:lpstr>Tracker3</vt:lpstr>
      <vt:lpstr>Tracker4</vt:lpstr>
      <vt:lpstr>Tracker5</vt:lpstr>
      <vt:lpstr>Tracker6</vt:lpstr>
      <vt:lpstr>Budget1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Balakumaran S</dc:creator>
  <cp:lastModifiedBy>Balakumaran S</cp:lastModifiedBy>
  <dcterms:created xsi:type="dcterms:W3CDTF">2026-01-03T12:52:53Z</dcterms:created>
  <dcterms:modified xsi:type="dcterms:W3CDTF">2026-01-06T08:19:00Z</dcterms:modified>
</cp:coreProperties>
</file>